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maree/projects/bwdp/projects/challenge4/data/processed/autonomous_greenhouse_challenge4_timeseries/"/>
    </mc:Choice>
  </mc:AlternateContent>
  <xr:revisionPtr revIDLastSave="0" documentId="13_ncr:1_{DC04CD58-470F-DC4D-A9B0-B8D0D635E780}" xr6:coauthVersionLast="47" xr6:coauthVersionMax="47" xr10:uidLastSave="{00000000-0000-0000-0000-000000000000}"/>
  <bookViews>
    <workbookView xWindow="1180" yWindow="760" windowWidth="29060" windowHeight="18880" tabRatio="772" xr2:uid="{DD7A0C23-E2AE-4203-B5ED-F8940831B112}"/>
  </bookViews>
  <sheets>
    <sheet name="Information" sheetId="15" r:id="rId1"/>
    <sheet name="Destructive harvest 7-10-24" sheetId="1" r:id="rId2"/>
    <sheet name="Destructive harvest 22-10-24" sheetId="3" r:id="rId3"/>
    <sheet name="Destructive harvest 05-11-24" sheetId="4" r:id="rId4"/>
    <sheet name="Final Harvest 3.02" sheetId="6" r:id="rId5"/>
    <sheet name="Final Harvest 3.07" sheetId="10" r:id="rId6"/>
    <sheet name="Final Harvest  3.06" sheetId="12" r:id="rId7"/>
    <sheet name="Final Harvest 3.03" sheetId="13" r:id="rId8"/>
    <sheet name="Final Harvest 3.01 " sheetId="11" r:id="rId9"/>
    <sheet name="Final Harvest 3.08" sheetId="14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4" i="6" l="1"/>
  <c r="C63" i="6"/>
  <c r="C63" i="10"/>
  <c r="C64" i="10"/>
  <c r="C64" i="12"/>
  <c r="C63" i="12"/>
  <c r="C63" i="13"/>
  <c r="C64" i="13"/>
  <c r="C64" i="11"/>
  <c r="C63" i="11"/>
  <c r="C64" i="14"/>
  <c r="C63" i="14"/>
  <c r="N43" i="4"/>
  <c r="N36" i="4"/>
  <c r="N29" i="4"/>
  <c r="N22" i="4"/>
  <c r="N15" i="4"/>
  <c r="N8" i="4"/>
  <c r="C61" i="14"/>
  <c r="C60" i="14"/>
  <c r="C61" i="11"/>
  <c r="C60" i="11"/>
  <c r="C61" i="13"/>
  <c r="C60" i="13"/>
  <c r="C61" i="12"/>
  <c r="C60" i="12"/>
  <c r="C61" i="10"/>
  <c r="C60" i="10"/>
  <c r="C61" i="6"/>
  <c r="C60" i="6"/>
  <c r="J8" i="3"/>
  <c r="I8" i="3"/>
  <c r="J15" i="3"/>
  <c r="I15" i="3"/>
  <c r="J22" i="3"/>
  <c r="I22" i="3"/>
  <c r="J29" i="3"/>
  <c r="I29" i="3"/>
  <c r="J43" i="3"/>
  <c r="I43" i="3"/>
  <c r="D43" i="3" s="1"/>
  <c r="J36" i="3"/>
  <c r="I36" i="3"/>
  <c r="G43" i="3"/>
  <c r="G36" i="3"/>
  <c r="G29" i="3"/>
  <c r="G22" i="3"/>
  <c r="D22" i="3" s="1"/>
  <c r="G15" i="3"/>
  <c r="G8" i="3"/>
  <c r="H43" i="3"/>
  <c r="F43" i="3"/>
  <c r="E43" i="3"/>
  <c r="L36" i="3"/>
  <c r="K36" i="3"/>
  <c r="H36" i="3"/>
  <c r="F36" i="3"/>
  <c r="E36" i="3"/>
  <c r="D36" i="3"/>
  <c r="C36" i="3"/>
  <c r="H29" i="3"/>
  <c r="F29" i="3"/>
  <c r="E29" i="3"/>
  <c r="D29" i="3"/>
  <c r="H22" i="3"/>
  <c r="F22" i="3"/>
  <c r="E22" i="3"/>
  <c r="H15" i="3"/>
  <c r="F15" i="3"/>
  <c r="E15" i="3"/>
  <c r="D15" i="3"/>
  <c r="H8" i="3"/>
  <c r="F8" i="3"/>
  <c r="E8" i="3"/>
  <c r="D8" i="3"/>
  <c r="N53" i="13" l="1"/>
  <c r="F53" i="12"/>
  <c r="E53" i="12"/>
  <c r="D53" i="12"/>
  <c r="H53" i="12"/>
  <c r="C53" i="12"/>
  <c r="J53" i="11"/>
  <c r="J53" i="13"/>
  <c r="J53" i="12"/>
  <c r="J53" i="10"/>
  <c r="J53" i="6"/>
  <c r="D58" i="11"/>
  <c r="G53" i="14"/>
  <c r="D53" i="14"/>
  <c r="N53" i="11"/>
  <c r="G53" i="11"/>
  <c r="D53" i="11"/>
  <c r="H53" i="13"/>
  <c r="F53" i="13"/>
  <c r="D53" i="13"/>
  <c r="H53" i="14"/>
  <c r="N53" i="14" s="1"/>
  <c r="C53" i="14"/>
  <c r="H53" i="11"/>
  <c r="C53" i="11"/>
  <c r="C53" i="13"/>
  <c r="H53" i="10"/>
  <c r="N53" i="6"/>
  <c r="C53" i="6"/>
  <c r="H53" i="6"/>
  <c r="H57" i="14"/>
  <c r="H57" i="11"/>
  <c r="H57" i="13"/>
  <c r="H57" i="12"/>
  <c r="F57" i="12"/>
  <c r="H57" i="6"/>
  <c r="F57" i="6"/>
  <c r="F57" i="10"/>
  <c r="H57" i="10"/>
  <c r="H58" i="10"/>
  <c r="H58" i="12"/>
  <c r="H58" i="13"/>
  <c r="H58" i="11"/>
  <c r="H58" i="14"/>
  <c r="H58" i="6"/>
  <c r="H54" i="14"/>
  <c r="F53" i="14"/>
  <c r="E53" i="14"/>
  <c r="D51" i="14"/>
  <c r="D50" i="14"/>
  <c r="D49" i="14"/>
  <c r="D48" i="14"/>
  <c r="D47" i="14"/>
  <c r="D46" i="14"/>
  <c r="D45" i="14"/>
  <c r="D44" i="14"/>
  <c r="D43" i="14"/>
  <c r="D42" i="14"/>
  <c r="D41" i="14"/>
  <c r="D40" i="14"/>
  <c r="D39" i="14"/>
  <c r="D38" i="14"/>
  <c r="D37" i="14"/>
  <c r="D36" i="14"/>
  <c r="D35" i="14"/>
  <c r="D34" i="14"/>
  <c r="D33" i="14"/>
  <c r="D32" i="14"/>
  <c r="D31" i="14"/>
  <c r="C31" i="14"/>
  <c r="D30" i="14"/>
  <c r="C30" i="14"/>
  <c r="D29" i="14"/>
  <c r="C29" i="14"/>
  <c r="D28" i="14"/>
  <c r="C28" i="14"/>
  <c r="D27" i="14"/>
  <c r="C27" i="14"/>
  <c r="D26" i="14"/>
  <c r="C26" i="14"/>
  <c r="D25" i="14"/>
  <c r="C25" i="14"/>
  <c r="D24" i="14"/>
  <c r="C24" i="14"/>
  <c r="D23" i="14"/>
  <c r="C23" i="14"/>
  <c r="D22" i="14"/>
  <c r="C22" i="14"/>
  <c r="D21" i="14"/>
  <c r="C21" i="14"/>
  <c r="D20" i="14"/>
  <c r="C20" i="14"/>
  <c r="D19" i="14"/>
  <c r="C19" i="14"/>
  <c r="D18" i="14"/>
  <c r="C18" i="14"/>
  <c r="D17" i="14"/>
  <c r="C17" i="14"/>
  <c r="D16" i="14"/>
  <c r="C16" i="14"/>
  <c r="D15" i="14"/>
  <c r="C15" i="14"/>
  <c r="D14" i="14"/>
  <c r="C14" i="14"/>
  <c r="D13" i="14"/>
  <c r="C13" i="14"/>
  <c r="D12" i="14"/>
  <c r="C12" i="14"/>
  <c r="D11" i="14"/>
  <c r="C11" i="14"/>
  <c r="D10" i="14"/>
  <c r="C10" i="14"/>
  <c r="D9" i="14"/>
  <c r="C9" i="14"/>
  <c r="D8" i="14"/>
  <c r="C8" i="14"/>
  <c r="D7" i="14"/>
  <c r="C7" i="14"/>
  <c r="D6" i="14"/>
  <c r="C6" i="14"/>
  <c r="D5" i="14"/>
  <c r="C5" i="14"/>
  <c r="D4" i="14"/>
  <c r="C4" i="14"/>
  <c r="D3" i="14"/>
  <c r="C3" i="14"/>
  <c r="D2" i="14"/>
  <c r="C2" i="14"/>
  <c r="I53" i="13" l="1"/>
  <c r="H54" i="13"/>
  <c r="G53" i="13"/>
  <c r="E53" i="13"/>
  <c r="D51" i="13"/>
  <c r="D50" i="13"/>
  <c r="D49" i="13"/>
  <c r="D48" i="13"/>
  <c r="D47" i="13"/>
  <c r="D46" i="13"/>
  <c r="D45" i="13"/>
  <c r="D44" i="13"/>
  <c r="D43" i="13"/>
  <c r="D42" i="13"/>
  <c r="D41" i="13"/>
  <c r="D40" i="13"/>
  <c r="D39" i="13"/>
  <c r="D38" i="13"/>
  <c r="D37" i="13"/>
  <c r="D36" i="13"/>
  <c r="D35" i="13"/>
  <c r="D34" i="13"/>
  <c r="D33" i="13"/>
  <c r="D32" i="13"/>
  <c r="D31" i="13"/>
  <c r="C31" i="13"/>
  <c r="D30" i="13"/>
  <c r="C30" i="13"/>
  <c r="D29" i="13"/>
  <c r="C29" i="13"/>
  <c r="D28" i="13"/>
  <c r="C28" i="13"/>
  <c r="D27" i="13"/>
  <c r="C27" i="13"/>
  <c r="D26" i="13"/>
  <c r="C26" i="13"/>
  <c r="D25" i="13"/>
  <c r="C25" i="13"/>
  <c r="D24" i="13"/>
  <c r="C24" i="13"/>
  <c r="D23" i="13"/>
  <c r="C23" i="13"/>
  <c r="D22" i="13"/>
  <c r="C22" i="13"/>
  <c r="D21" i="13"/>
  <c r="C21" i="13"/>
  <c r="D20" i="13"/>
  <c r="C20" i="13"/>
  <c r="D19" i="13"/>
  <c r="C19" i="13"/>
  <c r="D18" i="13"/>
  <c r="C18" i="13"/>
  <c r="D17" i="13"/>
  <c r="C17" i="13"/>
  <c r="D16" i="13"/>
  <c r="C16" i="13"/>
  <c r="D15" i="13"/>
  <c r="C15" i="13"/>
  <c r="D14" i="13"/>
  <c r="C14" i="13"/>
  <c r="D13" i="13"/>
  <c r="C13" i="13"/>
  <c r="D12" i="13"/>
  <c r="C12" i="13"/>
  <c r="D11" i="13"/>
  <c r="C11" i="13"/>
  <c r="D10" i="13"/>
  <c r="C10" i="13"/>
  <c r="D9" i="13"/>
  <c r="C9" i="13"/>
  <c r="D8" i="13"/>
  <c r="C8" i="13"/>
  <c r="D7" i="13"/>
  <c r="C7" i="13"/>
  <c r="D6" i="13"/>
  <c r="C6" i="13"/>
  <c r="D5" i="13"/>
  <c r="C5" i="13"/>
  <c r="D4" i="13"/>
  <c r="C4" i="13"/>
  <c r="D3" i="13"/>
  <c r="C3" i="13"/>
  <c r="D2" i="13"/>
  <c r="C2" i="13"/>
  <c r="I53" i="12"/>
  <c r="H54" i="12"/>
  <c r="G53" i="12"/>
  <c r="D51" i="12"/>
  <c r="D50" i="12"/>
  <c r="D49" i="12"/>
  <c r="D48" i="12"/>
  <c r="D47" i="12"/>
  <c r="D46" i="12"/>
  <c r="D45" i="12"/>
  <c r="D44" i="12"/>
  <c r="D43" i="12"/>
  <c r="D42" i="12"/>
  <c r="D41" i="12"/>
  <c r="D40" i="12"/>
  <c r="D39" i="12"/>
  <c r="D38" i="12"/>
  <c r="D37" i="12"/>
  <c r="D36" i="12"/>
  <c r="D35" i="12"/>
  <c r="D34" i="12"/>
  <c r="D33" i="12"/>
  <c r="D32" i="12"/>
  <c r="D31" i="12"/>
  <c r="D30" i="12"/>
  <c r="D29" i="12"/>
  <c r="D28" i="12"/>
  <c r="D27" i="12"/>
  <c r="D26" i="12"/>
  <c r="D25" i="12"/>
  <c r="D24" i="12"/>
  <c r="D23" i="12"/>
  <c r="D22" i="12"/>
  <c r="C22" i="12"/>
  <c r="D21" i="12"/>
  <c r="C21" i="12"/>
  <c r="D20" i="12"/>
  <c r="C20" i="12"/>
  <c r="D19" i="12"/>
  <c r="C19" i="12"/>
  <c r="D18" i="12"/>
  <c r="C18" i="12"/>
  <c r="D17" i="12"/>
  <c r="C17" i="12"/>
  <c r="D16" i="12"/>
  <c r="C16" i="12"/>
  <c r="D15" i="12"/>
  <c r="C15" i="12"/>
  <c r="D14" i="12"/>
  <c r="C14" i="12"/>
  <c r="D13" i="12"/>
  <c r="C13" i="12"/>
  <c r="D12" i="12"/>
  <c r="C12" i="12"/>
  <c r="D11" i="12"/>
  <c r="C11" i="12"/>
  <c r="D10" i="12"/>
  <c r="C10" i="12"/>
  <c r="D9" i="12"/>
  <c r="C9" i="12"/>
  <c r="D8" i="12"/>
  <c r="C8" i="12"/>
  <c r="D7" i="12"/>
  <c r="C7" i="12"/>
  <c r="D6" i="12"/>
  <c r="C6" i="12"/>
  <c r="D5" i="12"/>
  <c r="C5" i="12"/>
  <c r="D4" i="12"/>
  <c r="C4" i="12"/>
  <c r="D3" i="12"/>
  <c r="C3" i="12"/>
  <c r="D2" i="12"/>
  <c r="C2" i="12"/>
  <c r="N53" i="12" s="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I53" i="11"/>
  <c r="E53" i="11"/>
  <c r="F53" i="11"/>
  <c r="H54" i="11"/>
  <c r="D31" i="6"/>
  <c r="C31" i="6"/>
  <c r="D30" i="6"/>
  <c r="C30" i="6"/>
  <c r="D29" i="6"/>
  <c r="C29" i="6"/>
  <c r="D28" i="6"/>
  <c r="C28" i="6"/>
  <c r="D27" i="6"/>
  <c r="C27" i="6"/>
  <c r="D26" i="6"/>
  <c r="C26" i="6"/>
  <c r="D25" i="6"/>
  <c r="C25" i="6"/>
  <c r="D24" i="6"/>
  <c r="C24" i="6"/>
  <c r="D23" i="6"/>
  <c r="C23" i="6"/>
  <c r="D22" i="6"/>
  <c r="C22" i="6"/>
  <c r="D34" i="10"/>
  <c r="D35" i="10"/>
  <c r="D36" i="10"/>
  <c r="D37" i="10"/>
  <c r="D32" i="10"/>
  <c r="D33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31" i="10"/>
  <c r="C31" i="10"/>
  <c r="G55" i="10"/>
  <c r="E55" i="10"/>
  <c r="G55" i="6"/>
  <c r="E55" i="6"/>
  <c r="J8" i="4"/>
  <c r="I8" i="4"/>
  <c r="H8" i="4"/>
  <c r="G8" i="4"/>
  <c r="F8" i="4"/>
  <c r="E8" i="4"/>
  <c r="D8" i="4" s="1"/>
  <c r="C8" i="4"/>
  <c r="O43" i="4"/>
  <c r="O36" i="4"/>
  <c r="O29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30" i="4"/>
  <c r="O31" i="4"/>
  <c r="O32" i="4"/>
  <c r="O33" i="4"/>
  <c r="O34" i="4"/>
  <c r="O35" i="4"/>
  <c r="O37" i="4"/>
  <c r="O38" i="4"/>
  <c r="O39" i="4"/>
  <c r="O40" i="4"/>
  <c r="O41" i="4"/>
  <c r="O42" i="4"/>
  <c r="O2" i="4"/>
  <c r="D10" i="11"/>
  <c r="C10" i="11"/>
  <c r="D9" i="11"/>
  <c r="C9" i="11"/>
  <c r="D8" i="11"/>
  <c r="C8" i="11"/>
  <c r="D7" i="11"/>
  <c r="C7" i="11"/>
  <c r="D6" i="11"/>
  <c r="C6" i="11"/>
  <c r="D5" i="11"/>
  <c r="C5" i="11"/>
  <c r="D4" i="11"/>
  <c r="C4" i="11"/>
  <c r="D3" i="11"/>
  <c r="C3" i="11"/>
  <c r="D2" i="11"/>
  <c r="C2" i="11"/>
  <c r="I53" i="10"/>
  <c r="H54" i="10"/>
  <c r="G53" i="10"/>
  <c r="F53" i="10"/>
  <c r="E53" i="10"/>
  <c r="D30" i="10"/>
  <c r="C30" i="10"/>
  <c r="D29" i="10"/>
  <c r="C29" i="10"/>
  <c r="D28" i="10"/>
  <c r="C28" i="10"/>
  <c r="D27" i="10"/>
  <c r="C27" i="10"/>
  <c r="D26" i="10"/>
  <c r="C26" i="10"/>
  <c r="D25" i="10"/>
  <c r="C25" i="10"/>
  <c r="D24" i="10"/>
  <c r="C24" i="10"/>
  <c r="D23" i="10"/>
  <c r="C23" i="10"/>
  <c r="D22" i="10"/>
  <c r="C22" i="10"/>
  <c r="D21" i="10"/>
  <c r="C21" i="10"/>
  <c r="D20" i="10"/>
  <c r="C20" i="10"/>
  <c r="D19" i="10"/>
  <c r="C19" i="10"/>
  <c r="D18" i="10"/>
  <c r="C18" i="10"/>
  <c r="D17" i="10"/>
  <c r="C17" i="10"/>
  <c r="D16" i="10"/>
  <c r="C16" i="10"/>
  <c r="D15" i="10"/>
  <c r="C15" i="10"/>
  <c r="D14" i="10"/>
  <c r="C14" i="10"/>
  <c r="D13" i="10"/>
  <c r="C13" i="10"/>
  <c r="D12" i="10"/>
  <c r="C12" i="10"/>
  <c r="D11" i="10"/>
  <c r="C11" i="10"/>
  <c r="D10" i="10"/>
  <c r="C10" i="10"/>
  <c r="D9" i="10"/>
  <c r="C9" i="10"/>
  <c r="D8" i="10"/>
  <c r="C8" i="10"/>
  <c r="D7" i="10"/>
  <c r="C7" i="10"/>
  <c r="D6" i="10"/>
  <c r="C6" i="10"/>
  <c r="D5" i="10"/>
  <c r="C5" i="10"/>
  <c r="D4" i="10"/>
  <c r="C4" i="10"/>
  <c r="D3" i="10"/>
  <c r="C3" i="10"/>
  <c r="D2" i="10"/>
  <c r="C2" i="10"/>
  <c r="C53" i="10" s="1"/>
  <c r="N53" i="10" s="1"/>
  <c r="D7" i="4"/>
  <c r="M22" i="4"/>
  <c r="D2" i="4"/>
  <c r="M8" i="4" s="1"/>
  <c r="D3" i="4"/>
  <c r="D4" i="4"/>
  <c r="D5" i="4"/>
  <c r="D6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2" i="3"/>
  <c r="D3" i="3"/>
  <c r="D4" i="3"/>
  <c r="D5" i="3"/>
  <c r="D6" i="3"/>
  <c r="D7" i="3"/>
  <c r="D9" i="3"/>
  <c r="L15" i="3" s="1"/>
  <c r="D10" i="3"/>
  <c r="D11" i="3"/>
  <c r="D12" i="3"/>
  <c r="D13" i="3"/>
  <c r="D14" i="3"/>
  <c r="D16" i="3"/>
  <c r="L22" i="3" s="1"/>
  <c r="D17" i="3"/>
  <c r="D18" i="3"/>
  <c r="D19" i="3"/>
  <c r="D20" i="3"/>
  <c r="D21" i="3"/>
  <c r="D23" i="3"/>
  <c r="L29" i="3" s="1"/>
  <c r="D24" i="3"/>
  <c r="D25" i="3"/>
  <c r="D26" i="3"/>
  <c r="D27" i="3"/>
  <c r="D28" i="3"/>
  <c r="D30" i="3"/>
  <c r="D31" i="3"/>
  <c r="D32" i="3"/>
  <c r="D33" i="3"/>
  <c r="D34" i="3"/>
  <c r="D35" i="3"/>
  <c r="D37" i="3"/>
  <c r="D38" i="3"/>
  <c r="D39" i="3"/>
  <c r="D40" i="3"/>
  <c r="D41" i="3"/>
  <c r="D42" i="3"/>
  <c r="C2" i="3"/>
  <c r="C3" i="3"/>
  <c r="C4" i="3"/>
  <c r="C5" i="3"/>
  <c r="C6" i="3"/>
  <c r="C7" i="3"/>
  <c r="C9" i="3"/>
  <c r="C10" i="3"/>
  <c r="C11" i="3"/>
  <c r="C12" i="3"/>
  <c r="C13" i="3"/>
  <c r="C14" i="3"/>
  <c r="C16" i="3"/>
  <c r="C17" i="3"/>
  <c r="C18" i="3"/>
  <c r="C19" i="3"/>
  <c r="C20" i="3"/>
  <c r="C21" i="3"/>
  <c r="C23" i="3"/>
  <c r="C24" i="3"/>
  <c r="C25" i="3"/>
  <c r="C26" i="3"/>
  <c r="C27" i="3"/>
  <c r="C28" i="3"/>
  <c r="C30" i="3"/>
  <c r="C31" i="3"/>
  <c r="C32" i="3"/>
  <c r="C33" i="3"/>
  <c r="C34" i="3"/>
  <c r="C35" i="3"/>
  <c r="C37" i="3"/>
  <c r="C38" i="3"/>
  <c r="C39" i="3"/>
  <c r="C40" i="3"/>
  <c r="C41" i="3"/>
  <c r="C42" i="3"/>
  <c r="C22" i="1"/>
  <c r="I53" i="6"/>
  <c r="E53" i="6"/>
  <c r="F53" i="6"/>
  <c r="G53" i="6"/>
  <c r="H54" i="6"/>
  <c r="D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" i="6"/>
  <c r="H29" i="4"/>
  <c r="I29" i="4"/>
  <c r="J29" i="4"/>
  <c r="H22" i="4"/>
  <c r="I22" i="4"/>
  <c r="J22" i="4"/>
  <c r="F43" i="4"/>
  <c r="F36" i="4"/>
  <c r="F29" i="4"/>
  <c r="F22" i="4"/>
  <c r="G36" i="4"/>
  <c r="H36" i="4"/>
  <c r="I36" i="4"/>
  <c r="J36" i="4"/>
  <c r="H43" i="4"/>
  <c r="I43" i="4"/>
  <c r="J43" i="4"/>
  <c r="E43" i="4"/>
  <c r="E36" i="4"/>
  <c r="E29" i="4"/>
  <c r="E22" i="4"/>
  <c r="H15" i="4"/>
  <c r="I15" i="4"/>
  <c r="J15" i="4"/>
  <c r="F15" i="4"/>
  <c r="E15" i="4"/>
  <c r="C31" i="4"/>
  <c r="C32" i="4"/>
  <c r="C33" i="4"/>
  <c r="C34" i="4"/>
  <c r="C35" i="4"/>
  <c r="C38" i="4"/>
  <c r="C39" i="4"/>
  <c r="C40" i="4"/>
  <c r="C41" i="4"/>
  <c r="C42" i="4"/>
  <c r="C37" i="4"/>
  <c r="C30" i="4"/>
  <c r="C24" i="4"/>
  <c r="C25" i="4"/>
  <c r="C26" i="4"/>
  <c r="C27" i="4"/>
  <c r="C28" i="4"/>
  <c r="C23" i="4"/>
  <c r="C17" i="4"/>
  <c r="C18" i="4"/>
  <c r="C19" i="4"/>
  <c r="C20" i="4"/>
  <c r="C21" i="4"/>
  <c r="C16" i="4"/>
  <c r="C10" i="4"/>
  <c r="C11" i="4"/>
  <c r="C12" i="4"/>
  <c r="C13" i="4"/>
  <c r="C14" i="4"/>
  <c r="C9" i="4"/>
  <c r="L43" i="3" l="1"/>
  <c r="K43" i="3"/>
  <c r="C43" i="3"/>
  <c r="K29" i="3"/>
  <c r="C29" i="3"/>
  <c r="C22" i="3"/>
  <c r="K22" i="3"/>
  <c r="K15" i="3"/>
  <c r="C15" i="3"/>
  <c r="C8" i="3"/>
  <c r="K8" i="3"/>
  <c r="L8" i="3"/>
  <c r="D53" i="10"/>
  <c r="M15" i="4"/>
  <c r="D53" i="6"/>
  <c r="C36" i="4"/>
  <c r="L36" i="4"/>
  <c r="M43" i="4"/>
  <c r="G43" i="4"/>
  <c r="L43" i="4"/>
  <c r="C43" i="4"/>
  <c r="M36" i="4"/>
  <c r="M29" i="4"/>
  <c r="G29" i="4"/>
  <c r="L29" i="4"/>
  <c r="C29" i="4"/>
  <c r="G22" i="4"/>
  <c r="L22" i="4"/>
  <c r="C22" i="4"/>
  <c r="G15" i="4"/>
  <c r="L15" i="4"/>
  <c r="C15" i="4"/>
  <c r="L8" i="4"/>
  <c r="C43" i="1"/>
  <c r="C36" i="1"/>
  <c r="C29" i="1"/>
  <c r="C15" i="1"/>
  <c r="C8" i="1"/>
  <c r="E22" i="1"/>
  <c r="E15" i="1"/>
  <c r="E8" i="1"/>
  <c r="D43" i="1"/>
  <c r="D36" i="1"/>
  <c r="D22" i="1"/>
  <c r="D15" i="1"/>
  <c r="D8" i="1"/>
  <c r="B43" i="1"/>
  <c r="B36" i="1"/>
  <c r="B29" i="1"/>
  <c r="B22" i="1"/>
  <c r="B15" i="1"/>
  <c r="B8" i="1"/>
  <c r="D40" i="1"/>
  <c r="D38" i="1"/>
  <c r="E43" i="1"/>
  <c r="D30" i="1"/>
  <c r="E36" i="1"/>
  <c r="D24" i="1"/>
  <c r="D29" i="1"/>
  <c r="E29" i="1"/>
</calcChain>
</file>

<file path=xl/sharedStrings.xml><?xml version="1.0" encoding="utf-8"?>
<sst xmlns="http://schemas.openxmlformats.org/spreadsheetml/2006/main" count="626" uniqueCount="374">
  <si>
    <t>plant</t>
  </si>
  <si>
    <t xml:space="preserve">FW </t>
  </si>
  <si>
    <t># tom</t>
  </si>
  <si>
    <t>301-1</t>
  </si>
  <si>
    <t>301-2</t>
  </si>
  <si>
    <t>301-3</t>
  </si>
  <si>
    <t>301-4</t>
  </si>
  <si>
    <t>301-5</t>
  </si>
  <si>
    <t>301-6</t>
  </si>
  <si>
    <t>302-1</t>
  </si>
  <si>
    <t>302-2</t>
  </si>
  <si>
    <t>302-3</t>
  </si>
  <si>
    <t>302-4</t>
  </si>
  <si>
    <t>302-5</t>
  </si>
  <si>
    <t>302-6</t>
  </si>
  <si>
    <t>303-1</t>
  </si>
  <si>
    <t>303-2</t>
  </si>
  <si>
    <t>303-3</t>
  </si>
  <si>
    <t>303-4</t>
  </si>
  <si>
    <t>303-5</t>
  </si>
  <si>
    <t>303-6</t>
  </si>
  <si>
    <t>306-1</t>
  </si>
  <si>
    <t>306-2</t>
  </si>
  <si>
    <t>306-3</t>
  </si>
  <si>
    <t>306-4</t>
  </si>
  <si>
    <t>306-5</t>
  </si>
  <si>
    <t>306-6</t>
  </si>
  <si>
    <t>307-1</t>
  </si>
  <si>
    <t>307-2</t>
  </si>
  <si>
    <t>307-3</t>
  </si>
  <si>
    <t>307-4</t>
  </si>
  <si>
    <t>307-5</t>
  </si>
  <si>
    <t>307-6</t>
  </si>
  <si>
    <t>308-1</t>
  </si>
  <si>
    <t>308-2</t>
  </si>
  <si>
    <t>308-3</t>
  </si>
  <si>
    <t>308-4</t>
  </si>
  <si>
    <t>308-5</t>
  </si>
  <si>
    <t>308-6</t>
  </si>
  <si>
    <t>SE #tom</t>
  </si>
  <si>
    <t>SE FW</t>
  </si>
  <si>
    <t>302-7</t>
  </si>
  <si>
    <t>302-8</t>
  </si>
  <si>
    <t>302-9</t>
  </si>
  <si>
    <t>302-10</t>
  </si>
  <si>
    <t>302-11</t>
  </si>
  <si>
    <t>302-12</t>
  </si>
  <si>
    <t>303-13</t>
  </si>
  <si>
    <t>303-14</t>
  </si>
  <si>
    <t>303-15</t>
  </si>
  <si>
    <t>303-16</t>
  </si>
  <si>
    <t>303-17</t>
  </si>
  <si>
    <t>303-18</t>
  </si>
  <si>
    <t>306-19</t>
  </si>
  <si>
    <t>306-20</t>
  </si>
  <si>
    <t>306-21</t>
  </si>
  <si>
    <t>306-22</t>
  </si>
  <si>
    <t>306-23</t>
  </si>
  <si>
    <t>306-24</t>
  </si>
  <si>
    <t>307-25</t>
  </si>
  <si>
    <t>307-26</t>
  </si>
  <si>
    <t>307-27</t>
  </si>
  <si>
    <t>307-28</t>
  </si>
  <si>
    <t>307-29</t>
  </si>
  <si>
    <t>307-30</t>
  </si>
  <si>
    <t>308-32</t>
  </si>
  <si>
    <t>308-33</t>
  </si>
  <si>
    <t>308-34</t>
  </si>
  <si>
    <t>308-35</t>
  </si>
  <si>
    <t>308-36</t>
  </si>
  <si>
    <t>308-31</t>
  </si>
  <si>
    <t># tom green</t>
  </si>
  <si>
    <t>#tom coloured</t>
  </si>
  <si>
    <t>#tom red</t>
  </si>
  <si>
    <t>FW tot</t>
  </si>
  <si>
    <t>&lt;6gr</t>
  </si>
  <si>
    <t>Fw tom coloured</t>
  </si>
  <si>
    <t>FW tom red</t>
  </si>
  <si>
    <t>FW red</t>
  </si>
  <si>
    <t>fw green</t>
  </si>
  <si>
    <t>Fw coloured</t>
  </si>
  <si>
    <t>%red</t>
  </si>
  <si>
    <t>302-13</t>
  </si>
  <si>
    <t>302-14</t>
  </si>
  <si>
    <t>302-15</t>
  </si>
  <si>
    <t>302-16</t>
  </si>
  <si>
    <t>302-17</t>
  </si>
  <si>
    <t>302-18</t>
  </si>
  <si>
    <t>302-19</t>
  </si>
  <si>
    <t>302-20</t>
  </si>
  <si>
    <t>302-21</t>
  </si>
  <si>
    <t>302-22</t>
  </si>
  <si>
    <t>302-23</t>
  </si>
  <si>
    <t>302-24</t>
  </si>
  <si>
    <t>302-25</t>
  </si>
  <si>
    <t>302-26</t>
  </si>
  <si>
    <t>302-27</t>
  </si>
  <si>
    <t>302-28</t>
  </si>
  <si>
    <t>302-29</t>
  </si>
  <si>
    <t>302-30</t>
  </si>
  <si>
    <t># &lt;6</t>
  </si>
  <si>
    <t># tot</t>
  </si>
  <si>
    <t>%red (FW)</t>
  </si>
  <si>
    <t>tot</t>
  </si>
  <si>
    <t>FW green</t>
  </si>
  <si>
    <t>#tot</t>
  </si>
  <si>
    <t>307-7</t>
  </si>
  <si>
    <t>307-8</t>
  </si>
  <si>
    <t>307-9</t>
  </si>
  <si>
    <t>307-10</t>
  </si>
  <si>
    <t>307-11</t>
  </si>
  <si>
    <t>307-12</t>
  </si>
  <si>
    <t>307-13</t>
  </si>
  <si>
    <t>307-14</t>
  </si>
  <si>
    <t>307-15</t>
  </si>
  <si>
    <t>307-16</t>
  </si>
  <si>
    <t>307-17</t>
  </si>
  <si>
    <t>307-18</t>
  </si>
  <si>
    <t>307-19</t>
  </si>
  <si>
    <t>307-20</t>
  </si>
  <si>
    <t>307-21</t>
  </si>
  <si>
    <t>307-22</t>
  </si>
  <si>
    <t>307-23</t>
  </si>
  <si>
    <t>307-24</t>
  </si>
  <si>
    <t>307-31</t>
  </si>
  <si>
    <t>307-32</t>
  </si>
  <si>
    <t>307-33</t>
  </si>
  <si>
    <t>307-34</t>
  </si>
  <si>
    <t>307-35</t>
  </si>
  <si>
    <t>307-36</t>
  </si>
  <si>
    <t>307-37</t>
  </si>
  <si>
    <t>307-38</t>
  </si>
  <si>
    <t>307-39</t>
  </si>
  <si>
    <t>307-40</t>
  </si>
  <si>
    <t>307-41</t>
  </si>
  <si>
    <t>307-42</t>
  </si>
  <si>
    <t>307-43</t>
  </si>
  <si>
    <t>307-44</t>
  </si>
  <si>
    <t>307-45</t>
  </si>
  <si>
    <t>307-46</t>
  </si>
  <si>
    <t>307-47</t>
  </si>
  <si>
    <t>307-48</t>
  </si>
  <si>
    <t>307-49</t>
  </si>
  <si>
    <t>307-50</t>
  </si>
  <si>
    <t>302-31</t>
  </si>
  <si>
    <t>302-32</t>
  </si>
  <si>
    <t>302-33</t>
  </si>
  <si>
    <t>302-34</t>
  </si>
  <si>
    <t>302-35</t>
  </si>
  <si>
    <t>302-36</t>
  </si>
  <si>
    <t>302-37</t>
  </si>
  <si>
    <t>302-38</t>
  </si>
  <si>
    <t>302-39</t>
  </si>
  <si>
    <t>302-40</t>
  </si>
  <si>
    <t>302-41</t>
  </si>
  <si>
    <t>302-42</t>
  </si>
  <si>
    <t>302-43</t>
  </si>
  <si>
    <t>302-44</t>
  </si>
  <si>
    <t>302-45</t>
  </si>
  <si>
    <t>302-46</t>
  </si>
  <si>
    <t>302-47</t>
  </si>
  <si>
    <t>302-48</t>
  </si>
  <si>
    <t>302-49</t>
  </si>
  <si>
    <t>302-50</t>
  </si>
  <si>
    <t>306-7</t>
  </si>
  <si>
    <t>306-8</t>
  </si>
  <si>
    <t>306-9</t>
  </si>
  <si>
    <t>306-10</t>
  </si>
  <si>
    <t>306-11</t>
  </si>
  <si>
    <t>306-12</t>
  </si>
  <si>
    <t>306-13</t>
  </si>
  <si>
    <t>306-14</t>
  </si>
  <si>
    <t>306-15</t>
  </si>
  <si>
    <t>306-16</t>
  </si>
  <si>
    <t>306-17</t>
  </si>
  <si>
    <t>306-18</t>
  </si>
  <si>
    <t>306-25</t>
  </si>
  <si>
    <t>306-26</t>
  </si>
  <si>
    <t>306-27</t>
  </si>
  <si>
    <t>306-28</t>
  </si>
  <si>
    <t>306-29</t>
  </si>
  <si>
    <t>306-30</t>
  </si>
  <si>
    <t>306-31</t>
  </si>
  <si>
    <t>306-32</t>
  </si>
  <si>
    <t>306-33</t>
  </si>
  <si>
    <t>306-34</t>
  </si>
  <si>
    <t>306-35</t>
  </si>
  <si>
    <t>306-36</t>
  </si>
  <si>
    <t>306-37</t>
  </si>
  <si>
    <t>306-38</t>
  </si>
  <si>
    <t>306-39</t>
  </si>
  <si>
    <t>306-40</t>
  </si>
  <si>
    <t>306-41</t>
  </si>
  <si>
    <t>306-42</t>
  </si>
  <si>
    <t>306-43</t>
  </si>
  <si>
    <t>306-44</t>
  </si>
  <si>
    <t>306-45</t>
  </si>
  <si>
    <t>306-46</t>
  </si>
  <si>
    <t>306-47</t>
  </si>
  <si>
    <t>306-48</t>
  </si>
  <si>
    <t>306-49</t>
  </si>
  <si>
    <t>306-50</t>
  </si>
  <si>
    <t>303-7</t>
  </si>
  <si>
    <t>303-8</t>
  </si>
  <si>
    <t>303-9</t>
  </si>
  <si>
    <t>303-10</t>
  </si>
  <si>
    <t>303-11</t>
  </si>
  <si>
    <t>303-12</t>
  </si>
  <si>
    <t>303-19</t>
  </si>
  <si>
    <t>303-20</t>
  </si>
  <si>
    <t>303-21</t>
  </si>
  <si>
    <t>303-22</t>
  </si>
  <si>
    <t>303-23</t>
  </si>
  <si>
    <t>303-24</t>
  </si>
  <si>
    <t>303-25</t>
  </si>
  <si>
    <t>303-26</t>
  </si>
  <si>
    <t>303-27</t>
  </si>
  <si>
    <t>303-28</t>
  </si>
  <si>
    <t>303-29</t>
  </si>
  <si>
    <t>303-30</t>
  </si>
  <si>
    <t>303-31</t>
  </si>
  <si>
    <t>303-32</t>
  </si>
  <si>
    <t>303-33</t>
  </si>
  <si>
    <t>303-34</t>
  </si>
  <si>
    <t>303-35</t>
  </si>
  <si>
    <t>303-36</t>
  </si>
  <si>
    <t>303-37</t>
  </si>
  <si>
    <t>303-38</t>
  </si>
  <si>
    <t>303-39</t>
  </si>
  <si>
    <t>303-40</t>
  </si>
  <si>
    <t>303-41</t>
  </si>
  <si>
    <t>303-42</t>
  </si>
  <si>
    <t>303-43</t>
  </si>
  <si>
    <t>303-44</t>
  </si>
  <si>
    <t>303-45</t>
  </si>
  <si>
    <t>303-46</t>
  </si>
  <si>
    <t>303-47</t>
  </si>
  <si>
    <t>303-48</t>
  </si>
  <si>
    <t>303-49</t>
  </si>
  <si>
    <t>303-50</t>
  </si>
  <si>
    <t>avg</t>
  </si>
  <si>
    <t>301-7</t>
  </si>
  <si>
    <t>301-8</t>
  </si>
  <si>
    <t>301-9</t>
  </si>
  <si>
    <t>301-10</t>
  </si>
  <si>
    <t>301-11</t>
  </si>
  <si>
    <t>301-12</t>
  </si>
  <si>
    <t>301-13</t>
  </si>
  <si>
    <t>301-14</t>
  </si>
  <si>
    <t>301-15</t>
  </si>
  <si>
    <t>301-16</t>
  </si>
  <si>
    <t>301-17</t>
  </si>
  <si>
    <t>301-18</t>
  </si>
  <si>
    <t>301-19</t>
  </si>
  <si>
    <t>301-20</t>
  </si>
  <si>
    <t>301-21</t>
  </si>
  <si>
    <t>301-22</t>
  </si>
  <si>
    <t>301-23</t>
  </si>
  <si>
    <t>301-24</t>
  </si>
  <si>
    <t>301-25</t>
  </si>
  <si>
    <t>301-26</t>
  </si>
  <si>
    <t>301-27</t>
  </si>
  <si>
    <t>301-28</t>
  </si>
  <si>
    <t>301-29</t>
  </si>
  <si>
    <t>301-30</t>
  </si>
  <si>
    <t>301-31</t>
  </si>
  <si>
    <t>301-32</t>
  </si>
  <si>
    <t>301-33</t>
  </si>
  <si>
    <t>301-34</t>
  </si>
  <si>
    <t>301-35</t>
  </si>
  <si>
    <t>301-36</t>
  </si>
  <si>
    <t>301-37</t>
  </si>
  <si>
    <t>301-38</t>
  </si>
  <si>
    <t>301-39</t>
  </si>
  <si>
    <t>301-40</t>
  </si>
  <si>
    <t>301-41</t>
  </si>
  <si>
    <t>301-42</t>
  </si>
  <si>
    <t>301-43</t>
  </si>
  <si>
    <t>301-44</t>
  </si>
  <si>
    <t>301-45</t>
  </si>
  <si>
    <t>301-46</t>
  </si>
  <si>
    <t>301-47</t>
  </si>
  <si>
    <t>301-48</t>
  </si>
  <si>
    <t>301-49</t>
  </si>
  <si>
    <t>301-50</t>
  </si>
  <si>
    <t>308-7</t>
  </si>
  <si>
    <t>308-8</t>
  </si>
  <si>
    <t>308-9</t>
  </si>
  <si>
    <t>308-10</t>
  </si>
  <si>
    <t>308-11</t>
  </si>
  <si>
    <t>308-12</t>
  </si>
  <si>
    <t>308-13</t>
  </si>
  <si>
    <t>308-14</t>
  </si>
  <si>
    <t>308-15</t>
  </si>
  <si>
    <t>308-16</t>
  </si>
  <si>
    <t>308-17</t>
  </si>
  <si>
    <t>308-18</t>
  </si>
  <si>
    <t>308-19</t>
  </si>
  <si>
    <t>308-20</t>
  </si>
  <si>
    <t>308-21</t>
  </si>
  <si>
    <t>308-22</t>
  </si>
  <si>
    <t>308-23</t>
  </si>
  <si>
    <t>308-24</t>
  </si>
  <si>
    <t>308-25</t>
  </si>
  <si>
    <t>308-26</t>
  </si>
  <si>
    <t>308-27</t>
  </si>
  <si>
    <t>308-28</t>
  </si>
  <si>
    <t>308-29</t>
  </si>
  <si>
    <t>308-30</t>
  </si>
  <si>
    <t>308-37</t>
  </si>
  <si>
    <t>308-38</t>
  </si>
  <si>
    <t>308-39</t>
  </si>
  <si>
    <t>308-40</t>
  </si>
  <si>
    <t>308-41</t>
  </si>
  <si>
    <t>308-42</t>
  </si>
  <si>
    <t>308-43</t>
  </si>
  <si>
    <t>308-44</t>
  </si>
  <si>
    <t>308-45</t>
  </si>
  <si>
    <t>308-46</t>
  </si>
  <si>
    <t>308-47</t>
  </si>
  <si>
    <t>308-48</t>
  </si>
  <si>
    <t>308-49</t>
  </si>
  <si>
    <t>308-50</t>
  </si>
  <si>
    <t>DW%</t>
  </si>
  <si>
    <t>GH #</t>
  </si>
  <si>
    <t>fw excl bag</t>
  </si>
  <si>
    <t>dw excl bag</t>
  </si>
  <si>
    <t>total 30st</t>
  </si>
  <si>
    <t>drying</t>
  </si>
  <si>
    <t>total</t>
  </si>
  <si>
    <t>total 21st</t>
  </si>
  <si>
    <t>SE #tot</t>
  </si>
  <si>
    <t>FW RED</t>
  </si>
  <si>
    <t>FW</t>
  </si>
  <si>
    <t>SE FW RED</t>
  </si>
  <si>
    <t>cracks in rood</t>
  </si>
  <si>
    <t>1 crack</t>
  </si>
  <si>
    <t>2 cracks</t>
  </si>
  <si>
    <t>remarks</t>
  </si>
  <si>
    <t>On three dates, all three compartments are measured</t>
  </si>
  <si>
    <t>The final harvest was more extensive, and on the requested date of each team.</t>
  </si>
  <si>
    <t>Legend</t>
  </si>
  <si>
    <t>Fresh weight</t>
  </si>
  <si>
    <t>SE</t>
  </si>
  <si>
    <t>Standard Error</t>
  </si>
  <si>
    <t>number of tomatoes</t>
  </si>
  <si>
    <t>measurement plant number</t>
  </si>
  <si>
    <t>Description</t>
  </si>
  <si>
    <t>unit</t>
  </si>
  <si>
    <t>-</t>
  </si>
  <si>
    <t>gram</t>
  </si>
  <si>
    <t>count</t>
  </si>
  <si>
    <t>standard error of the number of tomatoes</t>
  </si>
  <si>
    <t>Greenhouse Compartment Number</t>
  </si>
  <si>
    <t>Tomatonuts</t>
  </si>
  <si>
    <t>MuGrow</t>
  </si>
  <si>
    <t>Agrifusion</t>
  </si>
  <si>
    <t>Reference</t>
  </si>
  <si>
    <t>IDEAS</t>
  </si>
  <si>
    <t>Trigger</t>
  </si>
  <si>
    <t>Team name</t>
  </si>
  <si>
    <t>green</t>
  </si>
  <si>
    <t>red</t>
  </si>
  <si>
    <t>ripe red tomatoes</t>
  </si>
  <si>
    <t>green unripe tomatoes</t>
  </si>
  <si>
    <t>orange/coloured tomatoes</t>
  </si>
  <si>
    <t>coloured</t>
  </si>
  <si>
    <t>The number of small tomatoes, less than 6 grams</t>
  </si>
  <si>
    <t>The fraction of red tomatoes, as counts.</t>
  </si>
  <si>
    <t>%</t>
  </si>
  <si>
    <t>dw%</t>
  </si>
  <si>
    <t>Dry Weight/matter percentage</t>
  </si>
  <si>
    <t>Fresh weight of the measured bag of tomatoes</t>
  </si>
  <si>
    <t>Weight of the batch of tomatoes, after drying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</si>
</sst>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4" tint="0.39997558519241921"/>
      </top>
      <bottom style="medium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87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/>
    <xf numFmtId="2" fontId="2" fillId="0" borderId="5" xfId="0" applyNumberFormat="1" applyFont="1" applyBorder="1"/>
    <xf numFmtId="1" fontId="2" fillId="0" borderId="6" xfId="0" applyNumberFormat="1" applyFont="1" applyBorder="1"/>
    <xf numFmtId="0" fontId="0" fillId="0" borderId="7" xfId="0" applyBorder="1"/>
    <xf numFmtId="164" fontId="0" fillId="0" borderId="0" xfId="0" applyNumberFormat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0" xfId="0" applyFill="1"/>
    <xf numFmtId="2" fontId="2" fillId="2" borderId="5" xfId="0" applyNumberFormat="1" applyFont="1" applyFill="1" applyBorder="1"/>
    <xf numFmtId="164" fontId="2" fillId="0" borderId="5" xfId="0" applyNumberFormat="1" applyFont="1" applyBorder="1"/>
    <xf numFmtId="1" fontId="2" fillId="0" borderId="5" xfId="0" applyNumberFormat="1" applyFont="1" applyBorder="1"/>
    <xf numFmtId="2" fontId="2" fillId="2" borderId="0" xfId="0" applyNumberFormat="1" applyFont="1" applyFill="1"/>
    <xf numFmtId="2" fontId="0" fillId="2" borderId="0" xfId="0" applyNumberFormat="1" applyFill="1"/>
    <xf numFmtId="0" fontId="2" fillId="0" borderId="8" xfId="0" applyFont="1" applyBorder="1"/>
    <xf numFmtId="0" fontId="2" fillId="0" borderId="9" xfId="0" applyFont="1" applyBorder="1"/>
    <xf numFmtId="0" fontId="2" fillId="2" borderId="9" xfId="0" applyFont="1" applyFill="1" applyBorder="1"/>
    <xf numFmtId="0" fontId="3" fillId="3" borderId="9" xfId="0" applyFont="1" applyFill="1" applyBorder="1"/>
    <xf numFmtId="0" fontId="2" fillId="4" borderId="9" xfId="0" applyFont="1" applyFill="1" applyBorder="1"/>
    <xf numFmtId="0" fontId="2" fillId="5" borderId="9" xfId="0" applyFont="1" applyFill="1" applyBorder="1"/>
    <xf numFmtId="0" fontId="2" fillId="0" borderId="10" xfId="0" applyFont="1" applyBorder="1"/>
    <xf numFmtId="2" fontId="2" fillId="0" borderId="11" xfId="0" applyNumberFormat="1" applyFont="1" applyBorder="1"/>
    <xf numFmtId="1" fontId="2" fillId="0" borderId="11" xfId="0" applyNumberFormat="1" applyFont="1" applyBorder="1"/>
    <xf numFmtId="164" fontId="2" fillId="0" borderId="11" xfId="0" applyNumberFormat="1" applyFont="1" applyBorder="1"/>
    <xf numFmtId="0" fontId="0" fillId="0" borderId="12" xfId="0" applyBorder="1"/>
    <xf numFmtId="0" fontId="0" fillId="0" borderId="5" xfId="0" applyBorder="1"/>
    <xf numFmtId="0" fontId="0" fillId="0" borderId="11" xfId="0" applyBorder="1"/>
    <xf numFmtId="0" fontId="2" fillId="0" borderId="13" xfId="0" applyFont="1" applyBorder="1"/>
    <xf numFmtId="0" fontId="4" fillId="7" borderId="14" xfId="0" applyFont="1" applyFill="1" applyBorder="1"/>
    <xf numFmtId="0" fontId="0" fillId="0" borderId="15" xfId="0" applyBorder="1"/>
    <xf numFmtId="0" fontId="0" fillId="0" borderId="16" xfId="0" applyBorder="1"/>
    <xf numFmtId="0" fontId="0" fillId="0" borderId="18" xfId="0" applyBorder="1"/>
    <xf numFmtId="0" fontId="0" fillId="0" borderId="19" xfId="0" applyBorder="1"/>
    <xf numFmtId="0" fontId="0" fillId="2" borderId="19" xfId="0" applyFill="1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5" xfId="0" applyBorder="1"/>
    <xf numFmtId="2" fontId="0" fillId="0" borderId="25" xfId="0" applyNumberFormat="1" applyBorder="1"/>
    <xf numFmtId="0" fontId="0" fillId="0" borderId="27" xfId="0" applyBorder="1"/>
    <xf numFmtId="0" fontId="0" fillId="0" borderId="28" xfId="0" applyBorder="1"/>
    <xf numFmtId="0" fontId="4" fillId="7" borderId="29" xfId="0" applyFont="1" applyFill="1" applyBorder="1"/>
    <xf numFmtId="0" fontId="2" fillId="0" borderId="30" xfId="0" applyFont="1" applyBorder="1"/>
    <xf numFmtId="0" fontId="2" fillId="0" borderId="7" xfId="0" applyFont="1" applyBorder="1"/>
    <xf numFmtId="0" fontId="2" fillId="2" borderId="7" xfId="0" applyFont="1" applyFill="1" applyBorder="1"/>
    <xf numFmtId="0" fontId="3" fillId="3" borderId="7" xfId="0" applyFont="1" applyFill="1" applyBorder="1"/>
    <xf numFmtId="0" fontId="2" fillId="5" borderId="7" xfId="0" applyFont="1" applyFill="1" applyBorder="1"/>
    <xf numFmtId="0" fontId="2" fillId="0" borderId="7" xfId="0" quotePrefix="1" applyFont="1" applyBorder="1"/>
    <xf numFmtId="0" fontId="0" fillId="2" borderId="12" xfId="0" applyFill="1" applyBorder="1"/>
    <xf numFmtId="164" fontId="0" fillId="0" borderId="17" xfId="0" applyNumberFormat="1" applyBorder="1"/>
    <xf numFmtId="0" fontId="0" fillId="0" borderId="17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2" fillId="0" borderId="1" xfId="0" applyFont="1" applyBorder="1"/>
    <xf numFmtId="0" fontId="2" fillId="0" borderId="35" xfId="0" applyFont="1" applyBorder="1"/>
    <xf numFmtId="0" fontId="3" fillId="3" borderId="1" xfId="0" applyFont="1" applyFill="1" applyBorder="1"/>
    <xf numFmtId="0" fontId="2" fillId="4" borderId="35" xfId="0" applyFont="1" applyFill="1" applyBorder="1"/>
    <xf numFmtId="0" fontId="2" fillId="5" borderId="35" xfId="0" applyFont="1" applyFill="1" applyBorder="1"/>
    <xf numFmtId="0" fontId="2" fillId="0" borderId="3" xfId="0" applyFont="1" applyBorder="1"/>
    <xf numFmtId="0" fontId="2" fillId="0" borderId="15" xfId="0" applyFont="1" applyBorder="1"/>
    <xf numFmtId="9" fontId="0" fillId="0" borderId="17" xfId="1" applyFont="1" applyFill="1" applyBorder="1"/>
    <xf numFmtId="0" fontId="2" fillId="6" borderId="5" xfId="0" applyFont="1" applyFill="1" applyBorder="1"/>
    <xf numFmtId="0" fontId="2" fillId="6" borderId="28" xfId="0" applyFont="1" applyFill="1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2" fontId="2" fillId="0" borderId="39" xfId="0" applyNumberFormat="1" applyFont="1" applyBorder="1"/>
    <xf numFmtId="164" fontId="0" fillId="0" borderId="7" xfId="0" applyNumberFormat="1" applyBorder="1"/>
    <xf numFmtId="0" fontId="2" fillId="0" borderId="25" xfId="0" applyFont="1" applyBorder="1"/>
    <xf numFmtId="164" fontId="2" fillId="0" borderId="1" xfId="0" applyNumberFormat="1" applyFont="1" applyBorder="1"/>
    <xf numFmtId="2" fontId="2" fillId="2" borderId="1" xfId="0" applyNumberFormat="1" applyFont="1" applyFill="1" applyBorder="1"/>
    <xf numFmtId="2" fontId="2" fillId="0" borderId="1" xfId="0" applyNumberFormat="1" applyFont="1" applyBorder="1"/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2" fillId="0" borderId="35" xfId="0" applyFont="1" applyBorder="1" applyAlignment="1">
      <alignment horizontal="left"/>
    </xf>
    <xf numFmtId="0" fontId="0" fillId="0" borderId="0" xfId="0" applyAlignment="1">
      <alignment horizontal="left"/>
    </xf>
  </cellXfs>
  <cellStyles count="2">
    <cellStyle name="Normal" xfId="0" builtinId="0"/>
    <cellStyle name="Per cent" xfId="1" builtinId="5"/>
  </cellStyles>
  <dxfs count="104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rgb="FF000000"/>
          <bgColor rgb="FFFFFF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medium">
          <color rgb="FF000000"/>
        </top>
        <bottom style="medium">
          <color rgb="FF000000"/>
        </bottom>
      </border>
    </dxf>
    <dxf>
      <fill>
        <patternFill patternType="none">
          <fgColor rgb="FF000000"/>
          <bgColor rgb="FFFFFFFF"/>
        </patternFill>
      </fill>
    </dxf>
    <dxf>
      <border outline="0">
        <bottom style="medium">
          <color rgb="FF000000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ill>
        <patternFill patternType="none">
          <fgColor rgb="FF000000"/>
          <bgColor rgb="FFFFFF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medium">
          <color rgb="FF000000"/>
        </top>
        <bottom style="medium">
          <color rgb="FF000000"/>
        </bottom>
      </border>
    </dxf>
    <dxf>
      <fill>
        <patternFill patternType="none">
          <fgColor rgb="FF000000"/>
          <bgColor rgb="FFFFFFFF"/>
        </patternFill>
      </fill>
    </dxf>
    <dxf>
      <border outline="0">
        <bottom style="medium">
          <color rgb="FF000000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ill>
        <patternFill patternType="none">
          <fgColor rgb="FF000000"/>
          <bgColor rgb="FFFFFF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medium">
          <color rgb="FF000000"/>
        </top>
        <bottom style="medium">
          <color rgb="FF000000"/>
        </bottom>
      </border>
    </dxf>
    <dxf>
      <fill>
        <patternFill patternType="none">
          <fgColor rgb="FF000000"/>
          <bgColor rgb="FFFFFFFF"/>
        </patternFill>
      </fill>
    </dxf>
    <dxf>
      <border outline="0">
        <bottom style="medium">
          <color rgb="FF000000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0" formatCode="General"/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ill>
        <patternFill patternType="none">
          <fgColor rgb="FF000000"/>
          <bgColor rgb="FFFFFF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medium">
          <color rgb="FF000000"/>
        </top>
        <bottom style="medium">
          <color rgb="FF000000"/>
        </bottom>
      </border>
    </dxf>
    <dxf>
      <fill>
        <patternFill patternType="none">
          <fgColor rgb="FF000000"/>
          <bgColor rgb="FFFFFFFF"/>
        </patternFill>
      </fill>
    </dxf>
    <dxf>
      <border outline="0">
        <bottom style="medium">
          <color rgb="FF000000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0" formatCode="General"/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ill>
        <patternFill patternType="none">
          <fgColor rgb="FF000000"/>
          <bgColor rgb="FFFFFF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medium">
          <color rgb="FF000000"/>
        </top>
        <bottom style="medium">
          <color rgb="FF000000"/>
        </bottom>
      </border>
    </dxf>
    <dxf>
      <fill>
        <patternFill patternType="none">
          <fgColor rgb="FF000000"/>
          <bgColor rgb="FFFFFFFF"/>
        </patternFill>
      </fill>
    </dxf>
    <dxf>
      <border outline="0">
        <bottom style="medium">
          <color rgb="FF000000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ill>
        <patternFill patternType="none">
          <fgColor rgb="FF000000"/>
          <bgColor rgb="FFFFFF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medium">
          <color rgb="FF000000"/>
        </top>
        <bottom style="medium">
          <color rgb="FF000000"/>
        </bottom>
      </border>
    </dxf>
    <dxf>
      <fill>
        <patternFill patternType="none">
          <fgColor rgb="FF000000"/>
          <bgColor rgb="FFFFFFFF"/>
        </patternFill>
      </fill>
    </dxf>
    <dxf>
      <border outline="0">
        <bottom style="medium">
          <color rgb="FF000000"/>
        </bottom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0" formatCode="General"/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medium">
          <color indexed="64"/>
        </top>
        <bottom style="medium">
          <color indexed="64"/>
        </bottom>
      </border>
    </dxf>
    <dxf>
      <fill>
        <patternFill patternType="none">
          <fgColor indexed="64"/>
          <bgColor indexed="65"/>
        </patternFill>
      </fill>
    </dxf>
    <dxf>
      <border outline="0">
        <bottom style="medium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5B9BD5"/>
      <color rgb="FF4472C4"/>
      <color rgb="FF71AD47"/>
      <color rgb="FFF29E65"/>
      <color rgb="FFFF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DE67823-2F14-4219-9EC3-B915C550A33D}" name="Tabel3" displayName="Tabel3" ref="A1:E43" totalsRowShown="0" headerRowDxfId="103">
  <autoFilter ref="A1:E43" xr:uid="{EDE67823-2F14-4219-9EC3-B915C550A33D}"/>
  <tableColumns count="5">
    <tableColumn id="1" xr3:uid="{95EF40EC-5EAA-486E-AD38-E98D11FFF605}" name="plant" dataDxfId="102"/>
    <tableColumn id="2" xr3:uid="{BCB5CF40-10C3-4CA3-B390-5E08025A32B2}" name="FW " dataDxfId="101"/>
    <tableColumn id="3" xr3:uid="{EE5064C9-CDEF-4B1B-A455-09CAD1C3ECFB}" name="SE FW" dataDxfId="100"/>
    <tableColumn id="4" xr3:uid="{40266CCC-0914-4166-A407-1F0250B33D97}" name="# tom" dataDxfId="99"/>
    <tableColumn id="5" xr3:uid="{1130D2CB-0851-4544-93B2-CD08A514232F}" name="SE #tom" dataDxfId="9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4DD7D6-DB50-48E0-B00C-8065931B4E9F}" name="Tabel2" displayName="Tabel2" ref="A1:J43" totalsRowShown="0" headerRowDxfId="97" headerRowBorderDxfId="96">
  <autoFilter ref="A1:J43" xr:uid="{854DD7D6-DB50-48E0-B00C-8065931B4E9F}"/>
  <tableColumns count="10">
    <tableColumn id="10" xr3:uid="{95F37719-52DD-4B1E-A47D-1B1359540A29}" name="GH #" dataDxfId="95"/>
    <tableColumn id="1" xr3:uid="{7A7FD8E9-5EF9-47CD-834C-D80FF5DB3E87}" name="plant" dataDxfId="94"/>
    <tableColumn id="2" xr3:uid="{F87B211A-F10B-4B99-8C53-003832AA0B46}" name="FW tot" dataDxfId="93">
      <calculatedColumnFormula>Tabel2[[#This Row],[FW green]]+Tabel2[[#This Row],[Fw tom coloured]]+Tabel2[[#This Row],[FW tom red]]</calculatedColumnFormula>
    </tableColumn>
    <tableColumn id="11" xr3:uid="{BE5FCC1B-E1E1-40F0-BECC-590434821EB5}" name="#tot" dataDxfId="92">
      <calculatedColumnFormula>Tabel2[[#This Row],['# tom green]]+Tabel2[[#This Row],['#tom coloured]]+Tabel2[[#This Row],['#tom red]]</calculatedColumnFormula>
    </tableColumn>
    <tableColumn id="4" xr3:uid="{8CF9D567-4C89-4156-B6A7-29F707D80150}" name="# tom green" dataDxfId="91"/>
    <tableColumn id="3" xr3:uid="{CCD60FCD-ABEE-4026-9F1D-3A1160A0CDE9}" name="FW green" dataDxfId="90"/>
    <tableColumn id="5" xr3:uid="{D4647463-DE33-4BA3-909B-071064CB1B7B}" name="#tom coloured" dataDxfId="89"/>
    <tableColumn id="6" xr3:uid="{9E96393C-0953-4449-A16D-4BE9D6AEF2C5}" name="Fw tom coloured" dataDxfId="88"/>
    <tableColumn id="7" xr3:uid="{E6829DC6-07BC-4E94-B520-7E5C241C6585}" name="#tom red" dataDxfId="87"/>
    <tableColumn id="8" xr3:uid="{639383D1-E3E5-4A95-8CF0-B341F7433702}" name="FW tom red" dataDxfId="8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ADA8B7-29EE-4EA5-9C8A-7D2D20DF8FDB}" name="Tabel1" displayName="Tabel1" ref="A1:K43" totalsRowShown="0" dataDxfId="84" headerRowBorderDxfId="85" tableBorderDxfId="83">
  <autoFilter ref="A1:K43" xr:uid="{43ADA8B7-29EE-4EA5-9C8A-7D2D20DF8FDB}"/>
  <tableColumns count="11">
    <tableColumn id="10" xr3:uid="{FDE394FA-1BF7-4749-9776-3066154E891A}" name="GH #" dataDxfId="82"/>
    <tableColumn id="1" xr3:uid="{38CD343F-2DDD-4BF3-A1F3-4CD72F70D567}" name="plant" dataDxfId="81"/>
    <tableColumn id="2" xr3:uid="{5417DBC8-F6E3-41DF-9F39-95AD7336B477}" name="FW tot" dataDxfId="80"/>
    <tableColumn id="3" xr3:uid="{833C8C24-712C-49C7-811A-F6510EF74AC2}" name="# tot" dataDxfId="79">
      <calculatedColumnFormula>Tabel1[[#This Row],['# tom green]]+Tabel1[[#This Row],['#tom coloured]]+Tabel1[[#This Row],['#tom red]]</calculatedColumnFormula>
    </tableColumn>
    <tableColumn id="4" xr3:uid="{1A95CF57-4DEC-48FD-98FB-22F11998E4EE}" name="# tom green" dataDxfId="78"/>
    <tableColumn id="5" xr3:uid="{E2F7AAE6-6AD9-4E5D-8DC3-745B97F90AC1}" name="fw green" dataDxfId="77"/>
    <tableColumn id="6" xr3:uid="{1358DF57-5DD8-44F2-A66D-6512B407BDA5}" name="#tom coloured" dataDxfId="76"/>
    <tableColumn id="7" xr3:uid="{0CDCD0D6-97BC-4606-8FC4-62E3CBF72404}" name="Fw coloured" dataDxfId="75"/>
    <tableColumn id="8" xr3:uid="{54F738B0-F6D4-4C92-B098-0FE28A9A61B1}" name="#tom red" dataDxfId="74"/>
    <tableColumn id="9" xr3:uid="{D0C4B888-7B12-4147-A607-2D1B78328CD0}" name="FW red" dataDxfId="73"/>
    <tableColumn id="11" xr3:uid="{758B4810-D5BE-4403-AA83-F92672583918}" name="&lt;6gr" dataDxfId="7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25465EF-89D5-438E-B803-3E91C8D41ADA}" name="Tabel15" displayName="Tabel15" ref="A1:I51" totalsRowShown="0" dataDxfId="70" headerRowBorderDxfId="71" tableBorderDxfId="69">
  <autoFilter ref="A1:I51" xr:uid="{43ADA8B7-29EE-4EA5-9C8A-7D2D20DF8FDB}"/>
  <tableColumns count="9">
    <tableColumn id="6" xr3:uid="{026A6242-9B9D-4711-89A8-70A672133162}" name="GH #" dataDxfId="68"/>
    <tableColumn id="1" xr3:uid="{DA18140A-1D54-4D71-A068-37F7D23978DE}" name="plant" dataDxfId="67"/>
    <tableColumn id="2" xr3:uid="{227FD255-61C8-456E-B9AB-325123BED4F8}" name="FW tot" dataDxfId="66">
      <calculatedColumnFormula>SUM(F2,H2)</calculatedColumnFormula>
    </tableColumn>
    <tableColumn id="3" xr3:uid="{540FAF66-B08A-42FE-A7B6-CF8030DDDC0F}" name="# tot" dataDxfId="65">
      <calculatedColumnFormula>Tabel15[[#This Row],['# tom green]]+Tabel15[[#This Row],['#tom red]]</calculatedColumnFormula>
    </tableColumn>
    <tableColumn id="4" xr3:uid="{7F645D10-B099-4A16-89FC-FFACD407719C}" name="# tom green" dataDxfId="64"/>
    <tableColumn id="5" xr3:uid="{69E3A320-08A1-434B-B840-85E40531B86E}" name="fw green" dataDxfId="63"/>
    <tableColumn id="8" xr3:uid="{4D8D941F-0CC0-4493-BB99-98FD0C9382EA}" name="#tom red" dataDxfId="62"/>
    <tableColumn id="9" xr3:uid="{EE186EAD-87F1-4FDD-8A60-543F6CD6987D}" name="FW red" dataDxfId="61"/>
    <tableColumn id="11" xr3:uid="{E8AD9780-02B1-41B3-B927-9913DE812E92}" name="# &lt;6" dataDxfId="6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6D3932D-F714-4FFC-9F15-1AFA9DCFB911}" name="Tabel157" displayName="Tabel157" ref="A1:I51" totalsRowShown="0" dataDxfId="58" headerRowBorderDxfId="59" tableBorderDxfId="57">
  <autoFilter ref="A1:I51" xr:uid="{43ADA8B7-29EE-4EA5-9C8A-7D2D20DF8FDB}"/>
  <tableColumns count="9">
    <tableColumn id="6" xr3:uid="{F592AC88-92B1-4D73-A7A9-C0FEA63F1287}" name="GH #" dataDxfId="56"/>
    <tableColumn id="1" xr3:uid="{51DEDC4F-B7FF-4FDE-887C-1BA2A387197C}" name="plant" dataDxfId="55"/>
    <tableColumn id="2" xr3:uid="{6DC916C3-F6D2-49CC-9458-0554A34DA600}" name="FW tot" dataDxfId="54">
      <calculatedColumnFormula>SUM(F2,H2)</calculatedColumnFormula>
    </tableColumn>
    <tableColumn id="3" xr3:uid="{438F3908-E52B-42B9-9DC3-0D7520B67397}" name="# tot" dataDxfId="53">
      <calculatedColumnFormula>Tabel157[[#This Row],['# tom green]]+Tabel157[[#This Row],['#tom red]]</calculatedColumnFormula>
    </tableColumn>
    <tableColumn id="4" xr3:uid="{985FBE13-A8AF-4AAE-A1B8-C358F142A2E1}" name="# tom green" dataDxfId="52"/>
    <tableColumn id="5" xr3:uid="{3F536AC0-9EB0-42DC-ADB9-7E335748DB52}" name="fw green" dataDxfId="51"/>
    <tableColumn id="8" xr3:uid="{81A955A2-DF9E-4AA2-A0B5-B464F55915B8}" name="#tom red" dataDxfId="50"/>
    <tableColumn id="9" xr3:uid="{57AE0F53-235B-4098-B70C-29527FDB4F7F}" name="FW red" dataDxfId="49"/>
    <tableColumn id="11" xr3:uid="{AD3463D0-C586-40EA-84A5-142FABBFD757}" name="# &lt;6" dataDxfId="4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D2C652C-68D3-4119-A4E8-F9BBB14D8E63}" name="Tabel15786" displayName="Tabel15786" ref="A1:I51" totalsRowShown="0" dataDxfId="46" headerRowBorderDxfId="47" tableBorderDxfId="45">
  <autoFilter ref="A1:I51" xr:uid="{43ADA8B7-29EE-4EA5-9C8A-7D2D20DF8FDB}"/>
  <tableColumns count="9">
    <tableColumn id="6" xr3:uid="{17681894-0617-4039-915C-159C76A355D4}" name="GH #" dataDxfId="44"/>
    <tableColumn id="1" xr3:uid="{271B933D-0347-475A-8CBC-4F7FC1186CC0}" name="plant" dataDxfId="43"/>
    <tableColumn id="2" xr3:uid="{704D1D67-E0DD-48F3-A9B4-0F455D3BE40C}" name="FW tot" dataDxfId="42">
      <calculatedColumnFormula>SUM(F2,H2)</calculatedColumnFormula>
    </tableColumn>
    <tableColumn id="3" xr3:uid="{BFBD2165-B7D2-4F47-97B9-C839E724F7C5}" name="# tot" dataDxfId="41">
      <calculatedColumnFormula>Tabel15786[[#This Row],['# tom green]]+Tabel15786[[#This Row],['#tom red]]</calculatedColumnFormula>
    </tableColumn>
    <tableColumn id="4" xr3:uid="{CA0E2C86-EACD-4FFC-82B3-7724247BD32A}" name="# tom green" dataDxfId="40"/>
    <tableColumn id="5" xr3:uid="{3FC7CB47-B3F8-4583-A0B0-28F05776ACB4}" name="fw green" dataDxfId="39"/>
    <tableColumn id="8" xr3:uid="{AF230C17-6D62-4996-A839-3E3CC2C7ED23}" name="#tom red" dataDxfId="38"/>
    <tableColumn id="9" xr3:uid="{7367D59B-AB9D-497B-86C0-3F83B24E7B81}" name="FW red" dataDxfId="37"/>
    <tableColumn id="11" xr3:uid="{1F87951C-90C0-4463-A19E-BFC37B5B77BD}" name="# &lt;6" dataDxfId="3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BE1871D-0124-4AB5-850D-E7E8E01E2A86}" name="Tabel15789" displayName="Tabel15789" ref="A1:I51" totalsRowShown="0" dataDxfId="34" headerRowBorderDxfId="35" tableBorderDxfId="33">
  <autoFilter ref="A1:I51" xr:uid="{6BE1871D-0124-4AB5-850D-E7E8E01E2A86}"/>
  <tableColumns count="9">
    <tableColumn id="6" xr3:uid="{5A24F3A4-3FA6-4090-9C2A-57B451CD2F7E}" name="GH #" dataDxfId="32"/>
    <tableColumn id="1" xr3:uid="{C52E939C-4C9F-4F25-A953-880BD0587A9E}" name="plant" dataDxfId="31"/>
    <tableColumn id="2" xr3:uid="{FAC328F1-0B39-43F4-9925-A2067886B862}" name="FW tot" dataDxfId="30">
      <calculatedColumnFormula>SUM(F2,H2)</calculatedColumnFormula>
    </tableColumn>
    <tableColumn id="3" xr3:uid="{0E5D1FEF-B384-4BC0-8BAD-ECCDADBD756D}" name="# tot" dataDxfId="29">
      <calculatedColumnFormula>Tabel15789[[#This Row],['# tom green]]+Tabel15789[[#This Row],['#tom red]]</calculatedColumnFormula>
    </tableColumn>
    <tableColumn id="4" xr3:uid="{5DBA0047-3425-4993-BF67-35E3D2D2905A}" name="# tom green" dataDxfId="28"/>
    <tableColumn id="5" xr3:uid="{4D6FB924-A544-452D-B15F-72A18100F739}" name="fw green" dataDxfId="27"/>
    <tableColumn id="8" xr3:uid="{8A58B370-4C0F-4EBA-B957-FFD6C977FCD1}" name="#tom red" dataDxfId="26"/>
    <tableColumn id="9" xr3:uid="{DE53E2E3-9E4D-4E62-811D-311B8723C868}" name="FW red" dataDxfId="25"/>
    <tableColumn id="11" xr3:uid="{B67D28F6-3A6E-4123-843B-E7853CEF0D94}" name="# &lt;6" dataDxfId="2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94CF563-4CC7-4041-AFFF-9C94B93A6AC0}" name="Tabel1578" displayName="Tabel1578" ref="A1:I51" totalsRowShown="0" dataDxfId="22" headerRowBorderDxfId="23" tableBorderDxfId="21">
  <autoFilter ref="A1:I51" xr:uid="{43ADA8B7-29EE-4EA5-9C8A-7D2D20DF8FDB}"/>
  <tableColumns count="9">
    <tableColumn id="6" xr3:uid="{979F7C7A-977E-412F-9B73-6FA3D1D28DFF}" name="GH #" dataDxfId="20"/>
    <tableColumn id="1" xr3:uid="{A5329A84-405B-4E68-A678-15FB9B2789C5}" name="plant" dataDxfId="19"/>
    <tableColumn id="2" xr3:uid="{0DF872E5-6B95-49F1-8999-723E89D0562E}" name="FW tot" dataDxfId="18">
      <calculatedColumnFormula>SUM(F2,H2)</calculatedColumnFormula>
    </tableColumn>
    <tableColumn id="3" xr3:uid="{6A184AEB-50CF-4A28-BEB6-00D335BD1A0C}" name="# tot" dataDxfId="17">
      <calculatedColumnFormula>Tabel1578[[#This Row],['# tom green]]+Tabel1578[[#This Row],['#tom red]]</calculatedColumnFormula>
    </tableColumn>
    <tableColumn id="4" xr3:uid="{C9D97BBB-D874-4395-87B4-54143BF8B2C4}" name="# tom green" dataDxfId="16"/>
    <tableColumn id="5" xr3:uid="{0690447B-F86A-4201-BB28-9F40873BD5F8}" name="fw green" dataDxfId="15"/>
    <tableColumn id="8" xr3:uid="{E5667530-E2C8-4EBD-9954-BC17F4051D1D}" name="#tom red" dataDxfId="14"/>
    <tableColumn id="9" xr3:uid="{0174E8CC-4034-4FB9-9292-F2D832AEE61D}" name="FW red" dataDxfId="13"/>
    <tableColumn id="11" xr3:uid="{6112626B-FBE4-4948-8160-5923EC692D9F}" name="# &lt;6" dataDxfId="12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1EE82A9-DF18-454B-9EAD-6EA77AAD469B}" name="Tabel157810" displayName="Tabel157810" ref="A1:I51" totalsRowShown="0" dataDxfId="10" headerRowBorderDxfId="11" tableBorderDxfId="9">
  <autoFilter ref="A1:I51" xr:uid="{01EE82A9-DF18-454B-9EAD-6EA77AAD469B}"/>
  <tableColumns count="9">
    <tableColumn id="6" xr3:uid="{96FF9499-8AC7-4EB2-8538-A070A9194454}" name="GH #" dataDxfId="8"/>
    <tableColumn id="1" xr3:uid="{13777A19-7316-4A36-8778-50D0485EDB48}" name="plant" dataDxfId="7"/>
    <tableColumn id="2" xr3:uid="{D27E1979-37E3-4D47-A3C2-0E1FC83CC6F4}" name="FW tot" dataDxfId="6">
      <calculatedColumnFormula>SUM(F2,H2)</calculatedColumnFormula>
    </tableColumn>
    <tableColumn id="3" xr3:uid="{38AA31C1-47B2-4548-AEE0-D9BA4C71D0AB}" name="# tot" dataDxfId="5">
      <calculatedColumnFormula>Tabel157810[[#This Row],['# tom green]]+Tabel157810[[#This Row],['#tom red]]</calculatedColumnFormula>
    </tableColumn>
    <tableColumn id="4" xr3:uid="{5332FE2E-5726-40AA-811C-6F3D2232AB98}" name="# tom green" dataDxfId="4"/>
    <tableColumn id="5" xr3:uid="{55E341F7-04B5-48EA-AB45-69BD630A70D9}" name="fw green" dataDxfId="3"/>
    <tableColumn id="8" xr3:uid="{9B628D01-199A-4215-BF99-94C98DA769D1}" name="#tom red" dataDxfId="2"/>
    <tableColumn id="9" xr3:uid="{26F8E9A0-A47A-4DC6-87CC-39A60EC8C44C}" name="FW red" dataDxfId="1"/>
    <tableColumn id="11" xr3:uid="{EDA3792D-5EB4-47C8-8EF2-054E1D7001C8}" name="# &lt;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F9F78-9C42-7941-BA2F-8E34B00AE60B}">
  <dimension ref="B5:D33"/>
  <sheetViews>
    <sheetView tabSelected="1" workbookViewId="0">
      <selection activeCell="D21" sqref="D21"/>
    </sheetView>
  </sheetViews>
  <sheetFormatPr baseColWidth="10" defaultRowHeight="15" x14ac:dyDescent="0.2"/>
  <cols>
    <col min="3" max="3" width="45.5" customWidth="1"/>
  </cols>
  <sheetData>
    <row r="5" spans="2:4" x14ac:dyDescent="0.2">
      <c r="B5" t="s">
        <v>339</v>
      </c>
    </row>
    <row r="6" spans="2:4" x14ac:dyDescent="0.2">
      <c r="B6" t="s">
        <v>340</v>
      </c>
    </row>
    <row r="9" spans="2:4" x14ac:dyDescent="0.2">
      <c r="B9" s="61" t="s">
        <v>341</v>
      </c>
      <c r="C9" s="61" t="s">
        <v>347</v>
      </c>
      <c r="D9" s="61" t="s">
        <v>348</v>
      </c>
    </row>
    <row r="10" spans="2:4" x14ac:dyDescent="0.2">
      <c r="B10" t="s">
        <v>324</v>
      </c>
      <c r="C10" t="s">
        <v>353</v>
      </c>
      <c r="D10" t="s">
        <v>349</v>
      </c>
    </row>
    <row r="11" spans="2:4" x14ac:dyDescent="0.2">
      <c r="B11" t="s">
        <v>0</v>
      </c>
      <c r="C11" t="s">
        <v>346</v>
      </c>
      <c r="D11" t="s">
        <v>349</v>
      </c>
    </row>
    <row r="12" spans="2:4" x14ac:dyDescent="0.2">
      <c r="B12" t="s">
        <v>333</v>
      </c>
      <c r="C12" t="s">
        <v>342</v>
      </c>
      <c r="D12" t="s">
        <v>350</v>
      </c>
    </row>
    <row r="13" spans="2:4" x14ac:dyDescent="0.2">
      <c r="B13" t="s">
        <v>343</v>
      </c>
      <c r="C13" t="s">
        <v>344</v>
      </c>
      <c r="D13" t="s">
        <v>350</v>
      </c>
    </row>
    <row r="14" spans="2:4" x14ac:dyDescent="0.2">
      <c r="B14" t="s">
        <v>2</v>
      </c>
      <c r="C14" t="s">
        <v>345</v>
      </c>
      <c r="D14" t="s">
        <v>351</v>
      </c>
    </row>
    <row r="15" spans="2:4" x14ac:dyDescent="0.2">
      <c r="B15" t="s">
        <v>39</v>
      </c>
      <c r="C15" t="s">
        <v>352</v>
      </c>
      <c r="D15" t="s">
        <v>351</v>
      </c>
    </row>
    <row r="16" spans="2:4" x14ac:dyDescent="0.2">
      <c r="B16" t="s">
        <v>361</v>
      </c>
      <c r="C16" t="s">
        <v>364</v>
      </c>
    </row>
    <row r="17" spans="2:4" x14ac:dyDescent="0.2">
      <c r="B17" t="s">
        <v>366</v>
      </c>
      <c r="C17" t="s">
        <v>365</v>
      </c>
    </row>
    <row r="18" spans="2:4" x14ac:dyDescent="0.2">
      <c r="B18" t="s">
        <v>362</v>
      </c>
      <c r="C18" t="s">
        <v>363</v>
      </c>
    </row>
    <row r="19" spans="2:4" x14ac:dyDescent="0.2">
      <c r="B19" t="s">
        <v>75</v>
      </c>
      <c r="C19" t="s">
        <v>367</v>
      </c>
      <c r="D19" t="s">
        <v>351</v>
      </c>
    </row>
    <row r="20" spans="2:4" x14ac:dyDescent="0.2">
      <c r="B20" t="s">
        <v>81</v>
      </c>
      <c r="C20" t="s">
        <v>368</v>
      </c>
      <c r="D20" t="s">
        <v>369</v>
      </c>
    </row>
    <row r="21" spans="2:4" x14ac:dyDescent="0.2">
      <c r="B21" t="s">
        <v>325</v>
      </c>
      <c r="C21" t="s">
        <v>372</v>
      </c>
      <c r="D21" t="s">
        <v>350</v>
      </c>
    </row>
    <row r="22" spans="2:4" x14ac:dyDescent="0.2">
      <c r="B22" t="s">
        <v>326</v>
      </c>
      <c r="C22" t="s">
        <v>373</v>
      </c>
      <c r="D22" t="s">
        <v>350</v>
      </c>
    </row>
    <row r="23" spans="2:4" x14ac:dyDescent="0.2">
      <c r="B23" t="s">
        <v>370</v>
      </c>
      <c r="C23" t="s">
        <v>371</v>
      </c>
      <c r="D23" t="s">
        <v>369</v>
      </c>
    </row>
    <row r="27" spans="2:4" x14ac:dyDescent="0.2">
      <c r="B27" s="85" t="s">
        <v>324</v>
      </c>
      <c r="C27" s="61" t="s">
        <v>360</v>
      </c>
    </row>
    <row r="28" spans="2:4" x14ac:dyDescent="0.2">
      <c r="B28" s="86">
        <v>3.01</v>
      </c>
      <c r="C28" t="s">
        <v>354</v>
      </c>
    </row>
    <row r="29" spans="2:4" x14ac:dyDescent="0.2">
      <c r="B29" s="86">
        <v>3.02</v>
      </c>
      <c r="C29" t="s">
        <v>355</v>
      </c>
    </row>
    <row r="30" spans="2:4" x14ac:dyDescent="0.2">
      <c r="B30" s="86">
        <v>3.03</v>
      </c>
      <c r="C30" t="s">
        <v>356</v>
      </c>
    </row>
    <row r="31" spans="2:4" x14ac:dyDescent="0.2">
      <c r="B31" s="86">
        <v>3.06</v>
      </c>
      <c r="C31" t="s">
        <v>357</v>
      </c>
    </row>
    <row r="32" spans="2:4" x14ac:dyDescent="0.2">
      <c r="B32" s="86">
        <v>3.07</v>
      </c>
      <c r="C32" t="s">
        <v>358</v>
      </c>
    </row>
    <row r="33" spans="2:3" x14ac:dyDescent="0.2">
      <c r="B33" s="86">
        <v>3.08</v>
      </c>
      <c r="C33" t="s">
        <v>359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E3B54-16E0-4E59-BC1A-8BA62C1D883C}">
  <dimension ref="A1:F43"/>
  <sheetViews>
    <sheetView workbookViewId="0">
      <selection activeCell="A8" sqref="A8"/>
    </sheetView>
  </sheetViews>
  <sheetFormatPr baseColWidth="10" defaultColWidth="8.83203125" defaultRowHeight="15" x14ac:dyDescent="0.2"/>
  <cols>
    <col min="5" max="5" width="10.1640625" customWidth="1"/>
  </cols>
  <sheetData>
    <row r="1" spans="1:6" x14ac:dyDescent="0.2">
      <c r="A1" s="2" t="s">
        <v>0</v>
      </c>
      <c r="B1" s="2" t="s">
        <v>1</v>
      </c>
      <c r="C1" s="2" t="s">
        <v>40</v>
      </c>
      <c r="D1" s="2" t="s">
        <v>2</v>
      </c>
      <c r="E1" s="8" t="s">
        <v>39</v>
      </c>
      <c r="F1" s="59"/>
    </row>
    <row r="2" spans="1:6" x14ac:dyDescent="0.2">
      <c r="A2" s="2" t="s">
        <v>3</v>
      </c>
      <c r="B2" s="2">
        <v>93.13</v>
      </c>
      <c r="C2" s="2"/>
      <c r="D2" s="2">
        <v>35</v>
      </c>
    </row>
    <row r="3" spans="1:6" x14ac:dyDescent="0.2">
      <c r="A3" s="2" t="s">
        <v>4</v>
      </c>
      <c r="B3" s="2">
        <v>93.85</v>
      </c>
      <c r="C3" s="2"/>
      <c r="D3" s="2">
        <v>41</v>
      </c>
    </row>
    <row r="4" spans="1:6" x14ac:dyDescent="0.2">
      <c r="A4" s="2" t="s">
        <v>5</v>
      </c>
      <c r="B4" s="2">
        <v>76</v>
      </c>
      <c r="C4" s="2"/>
      <c r="D4" s="2">
        <v>35</v>
      </c>
    </row>
    <row r="5" spans="1:6" x14ac:dyDescent="0.2">
      <c r="A5" s="2" t="s">
        <v>6</v>
      </c>
      <c r="B5" s="2">
        <v>97.9</v>
      </c>
      <c r="C5" s="2"/>
      <c r="D5" s="2">
        <v>40</v>
      </c>
    </row>
    <row r="6" spans="1:6" x14ac:dyDescent="0.2">
      <c r="A6" s="2" t="s">
        <v>7</v>
      </c>
      <c r="B6" s="2">
        <v>71.13</v>
      </c>
      <c r="C6" s="2"/>
      <c r="D6" s="2">
        <v>31</v>
      </c>
    </row>
    <row r="7" spans="1:6" ht="16" thickBot="1" x14ac:dyDescent="0.25">
      <c r="A7" s="3" t="s">
        <v>8</v>
      </c>
      <c r="B7" s="3">
        <v>73.81</v>
      </c>
      <c r="C7" s="3"/>
      <c r="D7" s="3">
        <v>30</v>
      </c>
    </row>
    <row r="8" spans="1:6" s="1" customFormat="1" ht="16" thickBot="1" x14ac:dyDescent="0.25">
      <c r="A8" s="5">
        <v>301</v>
      </c>
      <c r="B8" s="6">
        <f>AVERAGE(B2:B7)</f>
        <v>84.303333333333327</v>
      </c>
      <c r="C8" s="1">
        <f>_xlfn.STDEV.S(B2:B7)/(SQRT(COUNT(B2:B7)))</f>
        <v>4.8528697122882498</v>
      </c>
      <c r="D8" s="7">
        <f>AVERAGE(D2:D7)</f>
        <v>35.333333333333336</v>
      </c>
      <c r="E8" s="1">
        <f>_xlfn.STDEV.S(D2:D7)/(SQRT(COUNT(D2:D7)))</f>
        <v>1.8378731669453603</v>
      </c>
    </row>
    <row r="9" spans="1:6" x14ac:dyDescent="0.2">
      <c r="A9" s="4" t="s">
        <v>9</v>
      </c>
      <c r="B9" s="4">
        <v>53.38</v>
      </c>
      <c r="C9" s="4"/>
      <c r="D9" s="4">
        <v>29</v>
      </c>
      <c r="E9" s="1"/>
    </row>
    <row r="10" spans="1:6" x14ac:dyDescent="0.2">
      <c r="A10" s="2" t="s">
        <v>10</v>
      </c>
      <c r="B10" s="2">
        <v>90.76</v>
      </c>
      <c r="C10" s="2"/>
      <c r="D10" s="2">
        <v>32</v>
      </c>
      <c r="E10" s="1"/>
    </row>
    <row r="11" spans="1:6" x14ac:dyDescent="0.2">
      <c r="A11" s="2" t="s">
        <v>11</v>
      </c>
      <c r="B11" s="2">
        <v>98.28</v>
      </c>
      <c r="C11" s="2"/>
      <c r="D11" s="2">
        <v>33</v>
      </c>
      <c r="E11" s="1"/>
    </row>
    <row r="12" spans="1:6" x14ac:dyDescent="0.2">
      <c r="A12" s="2" t="s">
        <v>12</v>
      </c>
      <c r="B12" s="2">
        <v>36.21</v>
      </c>
      <c r="C12" s="2"/>
      <c r="D12" s="2">
        <v>22</v>
      </c>
      <c r="E12" s="1"/>
    </row>
    <row r="13" spans="1:6" x14ac:dyDescent="0.2">
      <c r="A13" s="2" t="s">
        <v>13</v>
      </c>
      <c r="B13" s="2">
        <v>84.98</v>
      </c>
      <c r="C13" s="2"/>
      <c r="D13" s="2">
        <v>36</v>
      </c>
      <c r="E13" s="1"/>
    </row>
    <row r="14" spans="1:6" ht="16" thickBot="1" x14ac:dyDescent="0.25">
      <c r="A14" s="3" t="s">
        <v>14</v>
      </c>
      <c r="B14" s="3">
        <v>96.71</v>
      </c>
      <c r="C14" s="3"/>
      <c r="D14" s="3">
        <v>36</v>
      </c>
      <c r="E14" s="1"/>
    </row>
    <row r="15" spans="1:6" s="1" customFormat="1" ht="16" thickBot="1" x14ac:dyDescent="0.25">
      <c r="A15" s="5">
        <v>302</v>
      </c>
      <c r="B15" s="6">
        <f>AVERAGE(B9:B14)</f>
        <v>76.72</v>
      </c>
      <c r="C15" s="1">
        <f>_xlfn.STDEV.S(B9:B14)/(SQRT(COUNT(B9:B14)))</f>
        <v>10.512847061254792</v>
      </c>
      <c r="D15" s="7">
        <f>AVERAGE(D9:D14)</f>
        <v>31.333333333333332</v>
      </c>
      <c r="E15" s="1">
        <f>_xlfn.STDEV.S(D9:D14)/(SQRT(COUNT(D9:D14)))</f>
        <v>2.1550973166992797</v>
      </c>
    </row>
    <row r="16" spans="1:6" x14ac:dyDescent="0.2">
      <c r="A16" s="4" t="s">
        <v>15</v>
      </c>
      <c r="B16" s="4">
        <v>61.97</v>
      </c>
      <c r="C16" s="4"/>
      <c r="D16" s="4">
        <v>29</v>
      </c>
      <c r="E16" s="1"/>
    </row>
    <row r="17" spans="1:5" x14ac:dyDescent="0.2">
      <c r="A17" s="2" t="s">
        <v>16</v>
      </c>
      <c r="B17" s="2">
        <v>48.93</v>
      </c>
      <c r="C17" s="2"/>
      <c r="D17" s="2">
        <v>25</v>
      </c>
      <c r="E17" s="1"/>
    </row>
    <row r="18" spans="1:5" x14ac:dyDescent="0.2">
      <c r="A18" s="2" t="s">
        <v>17</v>
      </c>
      <c r="B18" s="2">
        <v>48.39</v>
      </c>
      <c r="C18" s="2"/>
      <c r="D18" s="2">
        <v>32</v>
      </c>
      <c r="E18" s="1"/>
    </row>
    <row r="19" spans="1:5" x14ac:dyDescent="0.2">
      <c r="A19" s="2" t="s">
        <v>18</v>
      </c>
      <c r="B19" s="2">
        <v>74.86</v>
      </c>
      <c r="C19" s="2"/>
      <c r="D19" s="2">
        <v>34</v>
      </c>
      <c r="E19" s="1"/>
    </row>
    <row r="20" spans="1:5" x14ac:dyDescent="0.2">
      <c r="A20" s="2" t="s">
        <v>19</v>
      </c>
      <c r="B20" s="2">
        <v>75.819999999999993</v>
      </c>
      <c r="C20" s="2"/>
      <c r="D20" s="2">
        <v>35</v>
      </c>
      <c r="E20" s="1"/>
    </row>
    <row r="21" spans="1:5" ht="16" thickBot="1" x14ac:dyDescent="0.25">
      <c r="A21" s="3" t="s">
        <v>20</v>
      </c>
      <c r="B21" s="3">
        <v>25.32</v>
      </c>
      <c r="C21" s="3"/>
      <c r="D21" s="3">
        <v>15</v>
      </c>
      <c r="E21" s="1"/>
    </row>
    <row r="22" spans="1:5" s="1" customFormat="1" ht="16" thickBot="1" x14ac:dyDescent="0.25">
      <c r="A22" s="5">
        <v>303</v>
      </c>
      <c r="B22" s="6">
        <f>AVERAGE(B16:B21)</f>
        <v>55.881666666666668</v>
      </c>
      <c r="C22" s="1">
        <f>_xlfn.STDEV.S(B16:B21)/(SQRT(COUNT(B16:B21)))</f>
        <v>7.8171782703934181</v>
      </c>
      <c r="D22" s="7">
        <f>AVERAGE(D16:D21)</f>
        <v>28.333333333333332</v>
      </c>
      <c r="E22" s="1">
        <f>_xlfn.STDEV.S(D16:D21)/(SQRT(COUNT(D16:D21)))</f>
        <v>3.0514113310255473</v>
      </c>
    </row>
    <row r="23" spans="1:5" x14ac:dyDescent="0.2">
      <c r="A23" s="4" t="s">
        <v>21</v>
      </c>
      <c r="B23" s="4">
        <v>77.92</v>
      </c>
      <c r="C23" s="4"/>
      <c r="D23" s="4">
        <v>35</v>
      </c>
      <c r="E23" s="1"/>
    </row>
    <row r="24" spans="1:5" x14ac:dyDescent="0.2">
      <c r="A24" s="2" t="s">
        <v>22</v>
      </c>
      <c r="B24" s="2">
        <v>71.599999999999994</v>
      </c>
      <c r="C24" s="2"/>
      <c r="D24" s="2">
        <f>20+16</f>
        <v>36</v>
      </c>
      <c r="E24" s="1"/>
    </row>
    <row r="25" spans="1:5" x14ac:dyDescent="0.2">
      <c r="A25" s="2" t="s">
        <v>23</v>
      </c>
      <c r="B25" s="2">
        <v>54.31</v>
      </c>
      <c r="C25" s="2"/>
      <c r="D25" s="2">
        <v>30</v>
      </c>
      <c r="E25" s="1"/>
    </row>
    <row r="26" spans="1:5" x14ac:dyDescent="0.2">
      <c r="A26" s="2" t="s">
        <v>24</v>
      </c>
      <c r="B26" s="2">
        <v>76.03</v>
      </c>
      <c r="C26" s="2"/>
      <c r="D26" s="2">
        <v>39</v>
      </c>
      <c r="E26" s="1"/>
    </row>
    <row r="27" spans="1:5" x14ac:dyDescent="0.2">
      <c r="A27" s="2" t="s">
        <v>25</v>
      </c>
      <c r="B27" s="2">
        <v>45.44</v>
      </c>
      <c r="C27" s="2"/>
      <c r="D27" s="2">
        <v>29</v>
      </c>
      <c r="E27" s="1"/>
    </row>
    <row r="28" spans="1:5" ht="16" thickBot="1" x14ac:dyDescent="0.25">
      <c r="A28" s="3" t="s">
        <v>26</v>
      </c>
      <c r="B28" s="3">
        <v>84.64</v>
      </c>
      <c r="C28" s="3"/>
      <c r="D28" s="3">
        <v>40</v>
      </c>
      <c r="E28" s="1"/>
    </row>
    <row r="29" spans="1:5" s="1" customFormat="1" ht="16" thickBot="1" x14ac:dyDescent="0.25">
      <c r="A29" s="5">
        <v>306</v>
      </c>
      <c r="B29" s="6">
        <f>AVERAGE(B23:B28)</f>
        <v>68.323333333333338</v>
      </c>
      <c r="C29" s="1">
        <f>_xlfn.STDEV.S(B23:B28)/(SQRT(COUNT(B23:B28)))</f>
        <v>6.1872970224844286</v>
      </c>
      <c r="D29" s="7">
        <f>AVERAGE(D23:D28)</f>
        <v>34.833333333333336</v>
      </c>
      <c r="E29" s="1">
        <f>_xlfn.STDEV.S(D23:D28)/(SQRT(COUNT(D23:D28)))</f>
        <v>1.8514258769331726</v>
      </c>
    </row>
    <row r="30" spans="1:5" x14ac:dyDescent="0.2">
      <c r="A30" s="4" t="s">
        <v>27</v>
      </c>
      <c r="B30" s="4">
        <v>97.2</v>
      </c>
      <c r="C30" s="4"/>
      <c r="D30" s="4">
        <f>30+18</f>
        <v>48</v>
      </c>
      <c r="E30" s="1"/>
    </row>
    <row r="31" spans="1:5" x14ac:dyDescent="0.2">
      <c r="A31" s="2" t="s">
        <v>28</v>
      </c>
      <c r="B31" s="2">
        <v>92.13</v>
      </c>
      <c r="C31" s="2"/>
      <c r="D31" s="2">
        <v>44</v>
      </c>
      <c r="E31" s="1"/>
    </row>
    <row r="32" spans="1:5" x14ac:dyDescent="0.2">
      <c r="A32" s="2" t="s">
        <v>29</v>
      </c>
      <c r="B32" s="2">
        <v>46.61</v>
      </c>
      <c r="C32" s="2"/>
      <c r="D32" s="2">
        <v>29</v>
      </c>
      <c r="E32" s="1"/>
    </row>
    <row r="33" spans="1:5" x14ac:dyDescent="0.2">
      <c r="A33" s="2" t="s">
        <v>30</v>
      </c>
      <c r="B33" s="2">
        <v>80.569999999999993</v>
      </c>
      <c r="C33" s="2"/>
      <c r="D33" s="2">
        <v>39</v>
      </c>
      <c r="E33" s="1"/>
    </row>
    <row r="34" spans="1:5" x14ac:dyDescent="0.2">
      <c r="A34" s="2" t="s">
        <v>31</v>
      </c>
      <c r="B34" s="2">
        <v>58.68</v>
      </c>
      <c r="C34" s="2"/>
      <c r="D34" s="2">
        <v>42</v>
      </c>
      <c r="E34" s="1"/>
    </row>
    <row r="35" spans="1:5" ht="16" thickBot="1" x14ac:dyDescent="0.25">
      <c r="A35" s="3" t="s">
        <v>32</v>
      </c>
      <c r="B35" s="3">
        <v>100.41</v>
      </c>
      <c r="C35" s="3"/>
      <c r="D35" s="3">
        <v>48</v>
      </c>
      <c r="E35" s="1"/>
    </row>
    <row r="36" spans="1:5" s="1" customFormat="1" ht="16" thickBot="1" x14ac:dyDescent="0.25">
      <c r="A36" s="5">
        <v>307</v>
      </c>
      <c r="B36" s="6">
        <f>AVERAGE(B30:B35)</f>
        <v>79.266666666666666</v>
      </c>
      <c r="C36" s="1">
        <f>_xlfn.STDEV.S(B30:B35)/(SQRT(COUNT(B30:B35)))</f>
        <v>8.9927336098528734</v>
      </c>
      <c r="D36" s="7">
        <f>AVERAGE(D30:D35)</f>
        <v>41.666666666666664</v>
      </c>
      <c r="E36" s="1">
        <f>_xlfn.STDEV.S(D30:D35)/(SQRT(COUNT(D30:D35)))</f>
        <v>2.9059326290271192</v>
      </c>
    </row>
    <row r="37" spans="1:5" x14ac:dyDescent="0.2">
      <c r="A37" s="4" t="s">
        <v>33</v>
      </c>
      <c r="B37" s="4">
        <v>109.63</v>
      </c>
      <c r="C37" s="4"/>
      <c r="D37" s="4">
        <v>53</v>
      </c>
      <c r="E37" s="1"/>
    </row>
    <row r="38" spans="1:5" x14ac:dyDescent="0.2">
      <c r="A38" s="2" t="s">
        <v>34</v>
      </c>
      <c r="B38" s="2">
        <v>114.42</v>
      </c>
      <c r="C38" s="2"/>
      <c r="D38" s="2">
        <f>25+24</f>
        <v>49</v>
      </c>
      <c r="E38" s="1"/>
    </row>
    <row r="39" spans="1:5" x14ac:dyDescent="0.2">
      <c r="A39" s="2" t="s">
        <v>35</v>
      </c>
      <c r="B39" s="2">
        <v>92.94</v>
      </c>
      <c r="C39" s="2"/>
      <c r="D39" s="2">
        <v>41</v>
      </c>
      <c r="E39" s="1"/>
    </row>
    <row r="40" spans="1:5" x14ac:dyDescent="0.2">
      <c r="A40" s="2" t="s">
        <v>36</v>
      </c>
      <c r="B40" s="2">
        <v>104.53</v>
      </c>
      <c r="C40" s="2"/>
      <c r="D40" s="2">
        <f>25+20</f>
        <v>45</v>
      </c>
      <c r="E40" s="1"/>
    </row>
    <row r="41" spans="1:5" x14ac:dyDescent="0.2">
      <c r="A41" s="2" t="s">
        <v>37</v>
      </c>
      <c r="B41" s="2">
        <v>82.14</v>
      </c>
      <c r="C41" s="2"/>
      <c r="D41" s="2">
        <v>40</v>
      </c>
      <c r="E41" s="1"/>
    </row>
    <row r="42" spans="1:5" ht="16" thickBot="1" x14ac:dyDescent="0.25">
      <c r="A42" s="3" t="s">
        <v>38</v>
      </c>
      <c r="B42" s="3">
        <v>84.69</v>
      </c>
      <c r="C42" s="3"/>
      <c r="D42" s="3">
        <v>48</v>
      </c>
      <c r="E42" s="1"/>
    </row>
    <row r="43" spans="1:5" s="1" customFormat="1" ht="16" thickBot="1" x14ac:dyDescent="0.25">
      <c r="A43" s="5">
        <v>308</v>
      </c>
      <c r="B43" s="6">
        <f>AVERAGE(B37:B42)</f>
        <v>98.058333333333323</v>
      </c>
      <c r="C43" s="1">
        <f>_xlfn.STDEV.S(B37:B42)/(SQRT(COUNT(B37:B42)))</f>
        <v>5.4826790389776665</v>
      </c>
      <c r="D43" s="7">
        <f>AVERAGE(D37:D42)</f>
        <v>46</v>
      </c>
      <c r="E43" s="1">
        <f>_xlfn.STDEV.S(D37:D42)/(SQRT(COUNT(D37:D42)))</f>
        <v>2.0330600909302543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2DD85-E71E-434E-A795-110C51889C8C}">
  <dimension ref="A1:L43"/>
  <sheetViews>
    <sheetView workbookViewId="0">
      <selection activeCell="A8" sqref="A8"/>
    </sheetView>
  </sheetViews>
  <sheetFormatPr baseColWidth="10" defaultColWidth="8.83203125" defaultRowHeight="15" x14ac:dyDescent="0.2"/>
  <cols>
    <col min="5" max="5" width="13.5" customWidth="1"/>
    <col min="8" max="8" width="13.6640625" customWidth="1"/>
    <col min="9" max="9" width="16" customWidth="1"/>
    <col min="10" max="10" width="13.83203125" customWidth="1"/>
  </cols>
  <sheetData>
    <row r="1" spans="1:12" ht="16" thickBot="1" x14ac:dyDescent="0.25">
      <c r="A1" s="33" t="s">
        <v>324</v>
      </c>
      <c r="B1" s="60" t="s">
        <v>0</v>
      </c>
      <c r="C1" s="60" t="s">
        <v>74</v>
      </c>
      <c r="D1" s="60" t="s">
        <v>105</v>
      </c>
      <c r="E1" s="62" t="s">
        <v>71</v>
      </c>
      <c r="F1" s="62" t="s">
        <v>104</v>
      </c>
      <c r="G1" s="63" t="s">
        <v>72</v>
      </c>
      <c r="H1" s="63" t="s">
        <v>76</v>
      </c>
      <c r="I1" s="64" t="s">
        <v>73</v>
      </c>
      <c r="J1" s="64" t="s">
        <v>77</v>
      </c>
      <c r="K1" s="65" t="s">
        <v>40</v>
      </c>
      <c r="L1" s="66" t="s">
        <v>331</v>
      </c>
    </row>
    <row r="2" spans="1:12" x14ac:dyDescent="0.2">
      <c r="A2" s="4">
        <v>301</v>
      </c>
      <c r="B2" s="4" t="s">
        <v>3</v>
      </c>
      <c r="C2" s="8">
        <f>Tabel2[[#This Row],[FW green]]+Tabel2[[#This Row],[Fw tom coloured]]+Tabel2[[#This Row],[FW tom red]]</f>
        <v>222.54</v>
      </c>
      <c r="D2" s="8">
        <f>Tabel2[[#This Row],['# tom green]]+Tabel2[[#This Row],['#tom coloured]]+Tabel2[[#This Row],['#tom red]]</f>
        <v>52</v>
      </c>
      <c r="E2" s="4">
        <v>52</v>
      </c>
      <c r="F2" s="4">
        <v>222.54</v>
      </c>
      <c r="G2" s="4"/>
      <c r="H2" s="4"/>
      <c r="I2" s="4">
        <v>0</v>
      </c>
      <c r="J2" s="4">
        <v>0</v>
      </c>
      <c r="K2" s="8"/>
      <c r="L2" s="35"/>
    </row>
    <row r="3" spans="1:12" x14ac:dyDescent="0.2">
      <c r="A3" s="4">
        <v>301</v>
      </c>
      <c r="B3" s="2" t="s">
        <v>4</v>
      </c>
      <c r="C3" s="8">
        <f>Tabel2[[#This Row],[FW green]]+Tabel2[[#This Row],[Fw tom coloured]]+Tabel2[[#This Row],[FW tom red]]</f>
        <v>172.82</v>
      </c>
      <c r="D3" s="8">
        <f>Tabel2[[#This Row],['# tom green]]+Tabel2[[#This Row],['#tom coloured]]+Tabel2[[#This Row],['#tom red]]</f>
        <v>33</v>
      </c>
      <c r="E3" s="2">
        <v>33</v>
      </c>
      <c r="F3" s="2">
        <v>172.82</v>
      </c>
      <c r="G3" s="2"/>
      <c r="H3" s="2"/>
      <c r="I3" s="2"/>
      <c r="J3" s="2"/>
      <c r="K3" s="8"/>
      <c r="L3" s="35"/>
    </row>
    <row r="4" spans="1:12" x14ac:dyDescent="0.2">
      <c r="A4" s="4">
        <v>301</v>
      </c>
      <c r="B4" s="2" t="s">
        <v>5</v>
      </c>
      <c r="C4" s="8">
        <f>Tabel2[[#This Row],[FW green]]+Tabel2[[#This Row],[Fw tom coloured]]+Tabel2[[#This Row],[FW tom red]]</f>
        <v>203.52</v>
      </c>
      <c r="D4" s="8">
        <f>Tabel2[[#This Row],['# tom green]]+Tabel2[[#This Row],['#tom coloured]]+Tabel2[[#This Row],['#tom red]]</f>
        <v>46</v>
      </c>
      <c r="E4" s="2">
        <v>46</v>
      </c>
      <c r="F4" s="2">
        <v>203.52</v>
      </c>
      <c r="G4" s="2"/>
      <c r="H4" s="2"/>
      <c r="I4" s="2"/>
      <c r="J4" s="2"/>
      <c r="K4" s="8"/>
      <c r="L4" s="35"/>
    </row>
    <row r="5" spans="1:12" x14ac:dyDescent="0.2">
      <c r="A5" s="4">
        <v>301</v>
      </c>
      <c r="B5" s="2" t="s">
        <v>6</v>
      </c>
      <c r="C5" s="8">
        <f>Tabel2[[#This Row],[FW green]]+Tabel2[[#This Row],[Fw tom coloured]]+Tabel2[[#This Row],[FW tom red]]</f>
        <v>250.9</v>
      </c>
      <c r="D5" s="8">
        <f>Tabel2[[#This Row],['# tom green]]+Tabel2[[#This Row],['#tom coloured]]+Tabel2[[#This Row],['#tom red]]</f>
        <v>31</v>
      </c>
      <c r="E5" s="2">
        <v>31</v>
      </c>
      <c r="F5" s="2">
        <v>250.9</v>
      </c>
      <c r="G5" s="2"/>
      <c r="H5" s="2"/>
      <c r="I5" s="2"/>
      <c r="J5" s="2"/>
      <c r="K5" s="8"/>
      <c r="L5" s="35"/>
    </row>
    <row r="6" spans="1:12" x14ac:dyDescent="0.2">
      <c r="A6" s="4">
        <v>301</v>
      </c>
      <c r="B6" s="2" t="s">
        <v>7</v>
      </c>
      <c r="C6" s="8">
        <f>Tabel2[[#This Row],[FW green]]+Tabel2[[#This Row],[Fw tom coloured]]+Tabel2[[#This Row],[FW tom red]]</f>
        <v>275.8</v>
      </c>
      <c r="D6" s="8">
        <f>Tabel2[[#This Row],['# tom green]]+Tabel2[[#This Row],['#tom coloured]]+Tabel2[[#This Row],['#tom red]]</f>
        <v>53</v>
      </c>
      <c r="E6" s="2">
        <v>53</v>
      </c>
      <c r="F6" s="2">
        <v>275.8</v>
      </c>
      <c r="G6" s="2"/>
      <c r="H6" s="2"/>
      <c r="I6" s="2"/>
      <c r="J6" s="2"/>
      <c r="K6" s="8"/>
      <c r="L6" s="35"/>
    </row>
    <row r="7" spans="1:12" ht="16" thickBot="1" x14ac:dyDescent="0.25">
      <c r="A7" s="8">
        <v>301</v>
      </c>
      <c r="B7" s="3" t="s">
        <v>8</v>
      </c>
      <c r="C7" s="8">
        <f>Tabel2[[#This Row],[FW green]]+Tabel2[[#This Row],[Fw tom coloured]]+Tabel2[[#This Row],[FW tom red]]</f>
        <v>216.52</v>
      </c>
      <c r="D7" s="8">
        <f>Tabel2[[#This Row],['# tom green]]+Tabel2[[#This Row],['#tom coloured]]+Tabel2[[#This Row],['#tom red]]</f>
        <v>44</v>
      </c>
      <c r="E7" s="3">
        <v>43</v>
      </c>
      <c r="F7" s="3">
        <v>211.02</v>
      </c>
      <c r="G7" s="3">
        <v>1</v>
      </c>
      <c r="H7" s="3">
        <v>5.5</v>
      </c>
      <c r="I7" s="3"/>
      <c r="J7" s="3"/>
      <c r="K7" s="8"/>
      <c r="L7" s="35"/>
    </row>
    <row r="8" spans="1:12" ht="16" thickBot="1" x14ac:dyDescent="0.25">
      <c r="A8" s="5">
        <v>301</v>
      </c>
      <c r="B8" s="30"/>
      <c r="C8" s="6">
        <f>AVERAGE(C2:C7)</f>
        <v>223.68333333333331</v>
      </c>
      <c r="D8" s="30">
        <f>Tabel2[[#This Row],['# tom green]]+Tabel2[[#This Row],['#tom coloured]]+Tabel2[[#This Row],['#tom red]]</f>
        <v>44</v>
      </c>
      <c r="E8" s="6">
        <f t="shared" ref="E8:J8" si="0">AVERAGE(E2:E7)</f>
        <v>43</v>
      </c>
      <c r="F8" s="6">
        <f t="shared" si="0"/>
        <v>222.76666666666665</v>
      </c>
      <c r="G8" s="6">
        <f t="shared" si="0"/>
        <v>1</v>
      </c>
      <c r="H8" s="6">
        <f t="shared" si="0"/>
        <v>5.5</v>
      </c>
      <c r="I8" s="6">
        <f t="shared" si="0"/>
        <v>0</v>
      </c>
      <c r="J8" s="6">
        <f t="shared" si="0"/>
        <v>0</v>
      </c>
      <c r="K8" s="68">
        <f>_xlfn.STDEV.S(C2:C7)/(SQRT(COUNT(C2:C7)))</f>
        <v>14.723171231467504</v>
      </c>
      <c r="L8" s="69">
        <f>_xlfn.STDEV.S(D2:D7)/(SQRT(COUNT(D2:D7)))</f>
        <v>3.8071570028624331</v>
      </c>
    </row>
    <row r="9" spans="1:12" x14ac:dyDescent="0.2">
      <c r="A9" s="4">
        <v>302</v>
      </c>
      <c r="B9" s="4" t="s">
        <v>41</v>
      </c>
      <c r="C9" s="8">
        <f>Tabel2[[#This Row],[FW green]]+Tabel2[[#This Row],[Fw tom coloured]]+Tabel2[[#This Row],[FW tom red]]</f>
        <v>223.1</v>
      </c>
      <c r="D9" s="8">
        <f>Tabel2[[#This Row],['# tom green]]+Tabel2[[#This Row],['#tom coloured]]+Tabel2[[#This Row],['#tom red]]</f>
        <v>37</v>
      </c>
      <c r="E9" s="4">
        <v>37</v>
      </c>
      <c r="F9" s="4">
        <v>223.1</v>
      </c>
      <c r="G9" s="4"/>
      <c r="H9" s="4"/>
      <c r="I9" s="4">
        <v>0</v>
      </c>
      <c r="J9" s="4">
        <v>0</v>
      </c>
      <c r="K9" s="8"/>
      <c r="L9" s="35"/>
    </row>
    <row r="10" spans="1:12" x14ac:dyDescent="0.2">
      <c r="A10" s="2">
        <v>302</v>
      </c>
      <c r="B10" s="2" t="s">
        <v>42</v>
      </c>
      <c r="C10" s="8">
        <f>Tabel2[[#This Row],[FW green]]+Tabel2[[#This Row],[Fw tom coloured]]+Tabel2[[#This Row],[FW tom red]]</f>
        <v>236.06</v>
      </c>
      <c r="D10" s="8">
        <f>Tabel2[[#This Row],['# tom green]]+Tabel2[[#This Row],['#tom coloured]]+Tabel2[[#This Row],['#tom red]]</f>
        <v>53</v>
      </c>
      <c r="E10" s="2">
        <v>49</v>
      </c>
      <c r="F10" s="2">
        <v>204.04</v>
      </c>
      <c r="G10" s="2">
        <v>4</v>
      </c>
      <c r="H10" s="2">
        <v>32.020000000000003</v>
      </c>
      <c r="I10" s="2"/>
      <c r="J10" s="2"/>
      <c r="K10" s="8"/>
      <c r="L10" s="35"/>
    </row>
    <row r="11" spans="1:12" x14ac:dyDescent="0.2">
      <c r="A11" s="2">
        <v>302</v>
      </c>
      <c r="B11" s="2" t="s">
        <v>43</v>
      </c>
      <c r="C11" s="8">
        <f>Tabel2[[#This Row],[FW green]]+Tabel2[[#This Row],[Fw tom coloured]]+Tabel2[[#This Row],[FW tom red]]</f>
        <v>187.44</v>
      </c>
      <c r="D11" s="8">
        <f>Tabel2[[#This Row],['# tom green]]+Tabel2[[#This Row],['#tom coloured]]+Tabel2[[#This Row],['#tom red]]</f>
        <v>41</v>
      </c>
      <c r="E11" s="2">
        <v>41</v>
      </c>
      <c r="F11" s="2">
        <v>187.44</v>
      </c>
      <c r="G11" s="2"/>
      <c r="H11" s="2"/>
      <c r="I11" s="2"/>
      <c r="J11" s="2"/>
      <c r="K11" s="8"/>
      <c r="L11" s="35"/>
    </row>
    <row r="12" spans="1:12" x14ac:dyDescent="0.2">
      <c r="A12" s="2">
        <v>302</v>
      </c>
      <c r="B12" s="2" t="s">
        <v>44</v>
      </c>
      <c r="C12" s="8">
        <f>Tabel2[[#This Row],[FW green]]+Tabel2[[#This Row],[Fw tom coloured]]+Tabel2[[#This Row],[FW tom red]]</f>
        <v>259.68</v>
      </c>
      <c r="D12" s="8">
        <f>Tabel2[[#This Row],['# tom green]]+Tabel2[[#This Row],['#tom coloured]]+Tabel2[[#This Row],['#tom red]]</f>
        <v>48</v>
      </c>
      <c r="E12" s="2">
        <v>35</v>
      </c>
      <c r="F12" s="2">
        <v>165.36</v>
      </c>
      <c r="G12" s="2">
        <v>13</v>
      </c>
      <c r="H12" s="2">
        <v>94.32</v>
      </c>
      <c r="I12" s="2"/>
      <c r="J12" s="2"/>
      <c r="K12" s="8"/>
      <c r="L12" s="35"/>
    </row>
    <row r="13" spans="1:12" x14ac:dyDescent="0.2">
      <c r="A13" s="2">
        <v>302</v>
      </c>
      <c r="B13" s="2" t="s">
        <v>45</v>
      </c>
      <c r="C13" s="8">
        <f>Tabel2[[#This Row],[FW green]]+Tabel2[[#This Row],[Fw tom coloured]]+Tabel2[[#This Row],[FW tom red]]</f>
        <v>312.88</v>
      </c>
      <c r="D13" s="8">
        <f>Tabel2[[#This Row],['# tom green]]+Tabel2[[#This Row],['#tom coloured]]+Tabel2[[#This Row],['#tom red]]</f>
        <v>59</v>
      </c>
      <c r="E13" s="2">
        <v>45</v>
      </c>
      <c r="F13" s="2">
        <v>211.4</v>
      </c>
      <c r="G13" s="2">
        <v>14</v>
      </c>
      <c r="H13" s="2">
        <v>101.48</v>
      </c>
      <c r="I13" s="2"/>
      <c r="J13" s="2"/>
      <c r="K13" s="8"/>
      <c r="L13" s="35"/>
    </row>
    <row r="14" spans="1:12" ht="16" thickBot="1" x14ac:dyDescent="0.25">
      <c r="A14" s="2">
        <v>302</v>
      </c>
      <c r="B14" s="2" t="s">
        <v>46</v>
      </c>
      <c r="C14" s="4">
        <f>Tabel2[[#This Row],[FW green]]+Tabel2[[#This Row],[Fw tom coloured]]+Tabel2[[#This Row],[FW tom red]]</f>
        <v>128.74</v>
      </c>
      <c r="D14" s="4">
        <f>Tabel2[[#This Row],['# tom green]]+Tabel2[[#This Row],['#tom coloured]]+Tabel2[[#This Row],['#tom red]]</f>
        <v>33</v>
      </c>
      <c r="E14" s="2">
        <v>33</v>
      </c>
      <c r="F14" s="2">
        <v>128.74</v>
      </c>
      <c r="G14" s="2"/>
      <c r="H14" s="2"/>
      <c r="I14" s="2"/>
      <c r="J14" s="2"/>
    </row>
    <row r="15" spans="1:12" ht="16" thickBot="1" x14ac:dyDescent="0.25">
      <c r="A15" s="5">
        <v>302</v>
      </c>
      <c r="B15" s="30"/>
      <c r="C15" s="6">
        <f>AVERAGE(C9:C14)</f>
        <v>224.64999999999998</v>
      </c>
      <c r="D15" s="30">
        <f>Tabel2[[#This Row],['# tom green]]+Tabel2[[#This Row],['#tom coloured]]+Tabel2[[#This Row],['#tom red]]</f>
        <v>50.333333333333336</v>
      </c>
      <c r="E15" s="6">
        <f t="shared" ref="E15:J15" si="1">AVERAGE(E9:E14)</f>
        <v>40</v>
      </c>
      <c r="F15" s="6">
        <f t="shared" si="1"/>
        <v>186.67999999999998</v>
      </c>
      <c r="G15" s="6">
        <f t="shared" si="1"/>
        <v>10.333333333333334</v>
      </c>
      <c r="H15" s="6">
        <f t="shared" si="1"/>
        <v>75.94</v>
      </c>
      <c r="I15" s="6">
        <f t="shared" si="1"/>
        <v>0</v>
      </c>
      <c r="J15" s="6">
        <f t="shared" si="1"/>
        <v>0</v>
      </c>
      <c r="K15" s="68">
        <f>_xlfn.STDEV.S(C9:C14)/(SQRT(COUNT(C9:C14)))</f>
        <v>25.643411499512602</v>
      </c>
      <c r="L15" s="69">
        <f>_xlfn.STDEV.S(D9:D14)/(SQRT(COUNT(D9:D14)))</f>
        <v>4.053119511904109</v>
      </c>
    </row>
    <row r="16" spans="1:12" x14ac:dyDescent="0.2">
      <c r="A16" s="4">
        <v>303</v>
      </c>
      <c r="B16" s="4" t="s">
        <v>47</v>
      </c>
      <c r="C16" s="8">
        <f>Tabel2[[#This Row],[FW green]]+Tabel2[[#This Row],[Fw tom coloured]]+Tabel2[[#This Row],[FW tom red]]</f>
        <v>219.4</v>
      </c>
      <c r="D16" s="8">
        <f>Tabel2[[#This Row],['# tom green]]+Tabel2[[#This Row],['#tom coloured]]+Tabel2[[#This Row],['#tom red]]</f>
        <v>46</v>
      </c>
      <c r="E16" s="4">
        <v>46</v>
      </c>
      <c r="F16" s="4">
        <v>219.4</v>
      </c>
      <c r="G16" s="4">
        <v>0</v>
      </c>
      <c r="H16" s="4">
        <v>0</v>
      </c>
      <c r="I16" s="4">
        <v>0</v>
      </c>
      <c r="J16" s="4">
        <v>0</v>
      </c>
      <c r="K16" s="8"/>
      <c r="L16" s="35"/>
    </row>
    <row r="17" spans="1:12" x14ac:dyDescent="0.2">
      <c r="A17" s="2">
        <v>303</v>
      </c>
      <c r="B17" s="2" t="s">
        <v>48</v>
      </c>
      <c r="C17" s="8">
        <f>Tabel2[[#This Row],[FW green]]+Tabel2[[#This Row],[Fw tom coloured]]+Tabel2[[#This Row],[FW tom red]]</f>
        <v>258.76</v>
      </c>
      <c r="D17" s="8">
        <f>Tabel2[[#This Row],['# tom green]]+Tabel2[[#This Row],['#tom coloured]]+Tabel2[[#This Row],['#tom red]]</f>
        <v>53</v>
      </c>
      <c r="E17" s="2">
        <v>53</v>
      </c>
      <c r="F17" s="2">
        <v>258.76</v>
      </c>
      <c r="G17" s="2"/>
      <c r="H17" s="2"/>
      <c r="I17" s="2"/>
      <c r="J17" s="2"/>
      <c r="K17" s="8"/>
      <c r="L17" s="35"/>
    </row>
    <row r="18" spans="1:12" x14ac:dyDescent="0.2">
      <c r="A18" s="2">
        <v>303</v>
      </c>
      <c r="B18" s="2" t="s">
        <v>49</v>
      </c>
      <c r="C18" s="8">
        <f>Tabel2[[#This Row],[FW green]]+Tabel2[[#This Row],[Fw tom coloured]]+Tabel2[[#This Row],[FW tom red]]</f>
        <v>246.44</v>
      </c>
      <c r="D18" s="8">
        <f>Tabel2[[#This Row],['# tom green]]+Tabel2[[#This Row],['#tom coloured]]+Tabel2[[#This Row],['#tom red]]</f>
        <v>47</v>
      </c>
      <c r="E18" s="2">
        <v>47</v>
      </c>
      <c r="F18" s="2">
        <v>246.44</v>
      </c>
      <c r="G18" s="2"/>
      <c r="H18" s="2"/>
      <c r="I18" s="2"/>
      <c r="J18" s="2"/>
      <c r="K18" s="8"/>
      <c r="L18" s="35"/>
    </row>
    <row r="19" spans="1:12" x14ac:dyDescent="0.2">
      <c r="A19" s="2">
        <v>303</v>
      </c>
      <c r="B19" s="2" t="s">
        <v>50</v>
      </c>
      <c r="C19" s="8">
        <f>Tabel2[[#This Row],[FW green]]+Tabel2[[#This Row],[Fw tom coloured]]+Tabel2[[#This Row],[FW tom red]]</f>
        <v>239.34</v>
      </c>
      <c r="D19" s="8">
        <f>Tabel2[[#This Row],['# tom green]]+Tabel2[[#This Row],['#tom coloured]]+Tabel2[[#This Row],['#tom red]]</f>
        <v>45</v>
      </c>
      <c r="E19" s="2">
        <v>45</v>
      </c>
      <c r="F19" s="2">
        <v>239.34</v>
      </c>
      <c r="G19" s="2"/>
      <c r="H19" s="2"/>
      <c r="I19" s="2"/>
      <c r="J19" s="2"/>
      <c r="K19" s="8"/>
      <c r="L19" s="35"/>
    </row>
    <row r="20" spans="1:12" x14ac:dyDescent="0.2">
      <c r="A20" s="2">
        <v>303</v>
      </c>
      <c r="B20" s="2" t="s">
        <v>51</v>
      </c>
      <c r="C20" s="4">
        <f>Tabel2[[#This Row],[FW green]]+Tabel2[[#This Row],[Fw tom coloured]]+Tabel2[[#This Row],[FW tom red]]</f>
        <v>276.39999999999998</v>
      </c>
      <c r="D20" s="4">
        <f>Tabel2[[#This Row],['# tom green]]+Tabel2[[#This Row],['#tom coloured]]+Tabel2[[#This Row],['#tom red]]</f>
        <v>57</v>
      </c>
      <c r="E20" s="2">
        <v>57</v>
      </c>
      <c r="F20" s="2">
        <v>276.39999999999998</v>
      </c>
      <c r="G20" s="2"/>
      <c r="H20" s="2"/>
      <c r="I20" s="2"/>
      <c r="J20" s="2"/>
      <c r="K20" s="4"/>
      <c r="L20" s="34"/>
    </row>
    <row r="21" spans="1:12" ht="16" thickBot="1" x14ac:dyDescent="0.25">
      <c r="A21" s="4">
        <v>303</v>
      </c>
      <c r="B21" s="8" t="s">
        <v>52</v>
      </c>
      <c r="C21" s="8">
        <f>Tabel2[[#This Row],[FW green]]+Tabel2[[#This Row],[Fw tom coloured]]+Tabel2[[#This Row],[FW tom red]]</f>
        <v>238.44</v>
      </c>
      <c r="D21" s="8">
        <f>Tabel2[[#This Row],['# tom green]]+Tabel2[[#This Row],['#tom coloured]]+Tabel2[[#This Row],['#tom red]]</f>
        <v>58</v>
      </c>
      <c r="E21" s="8">
        <v>58</v>
      </c>
      <c r="F21" s="8">
        <v>238.44</v>
      </c>
      <c r="G21" s="8"/>
      <c r="H21" s="8"/>
      <c r="I21" s="8"/>
      <c r="J21" s="8"/>
    </row>
    <row r="22" spans="1:12" ht="16" thickBot="1" x14ac:dyDescent="0.25">
      <c r="A22" s="5">
        <v>303</v>
      </c>
      <c r="B22" s="30"/>
      <c r="C22" s="6">
        <f>AVERAGE(C16:C21)</f>
        <v>246.46333333333334</v>
      </c>
      <c r="D22" s="30">
        <f>Tabel2[[#This Row],['# tom green]]+Tabel2[[#This Row],['#tom coloured]]+Tabel2[[#This Row],['#tom red]]</f>
        <v>51</v>
      </c>
      <c r="E22" s="6">
        <f t="shared" ref="E22:J22" si="2">AVERAGE(E16:E21)</f>
        <v>51</v>
      </c>
      <c r="F22" s="6">
        <f t="shared" si="2"/>
        <v>246.46333333333334</v>
      </c>
      <c r="G22" s="6">
        <f t="shared" si="2"/>
        <v>0</v>
      </c>
      <c r="H22" s="6">
        <f t="shared" si="2"/>
        <v>0</v>
      </c>
      <c r="I22" s="6">
        <f t="shared" si="2"/>
        <v>0</v>
      </c>
      <c r="J22" s="6">
        <f t="shared" si="2"/>
        <v>0</v>
      </c>
      <c r="K22" s="68">
        <f>_xlfn.STDEV.S(C16:C21)/(SQRT(COUNT(C16:C21)))</f>
        <v>7.947646052623238</v>
      </c>
      <c r="L22" s="69">
        <f>_xlfn.STDEV.S(D16:D21)/(SQRT(COUNT(D16:D21)))</f>
        <v>2.3523038352503134</v>
      </c>
    </row>
    <row r="23" spans="1:12" x14ac:dyDescent="0.2">
      <c r="A23" s="2">
        <v>306</v>
      </c>
      <c r="B23" s="4" t="s">
        <v>53</v>
      </c>
      <c r="C23" s="8">
        <f>Tabel2[[#This Row],[FW green]]+Tabel2[[#This Row],[Fw tom coloured]]+Tabel2[[#This Row],[FW tom red]]</f>
        <v>278.94</v>
      </c>
      <c r="D23" s="8">
        <f>Tabel2[[#This Row],['# tom green]]+Tabel2[[#This Row],['#tom coloured]]+Tabel2[[#This Row],['#tom red]]</f>
        <v>54</v>
      </c>
      <c r="E23" s="4">
        <v>54</v>
      </c>
      <c r="F23" s="4">
        <v>278.94</v>
      </c>
      <c r="G23" s="4"/>
      <c r="H23" s="4"/>
      <c r="I23" s="4">
        <v>0</v>
      </c>
      <c r="J23" s="4">
        <v>0</v>
      </c>
      <c r="K23" s="8"/>
      <c r="L23" s="35"/>
    </row>
    <row r="24" spans="1:12" x14ac:dyDescent="0.2">
      <c r="A24" s="2">
        <v>306</v>
      </c>
      <c r="B24" s="2" t="s">
        <v>54</v>
      </c>
      <c r="C24" s="8">
        <f>Tabel2[[#This Row],[FW green]]+Tabel2[[#This Row],[Fw tom coloured]]+Tabel2[[#This Row],[FW tom red]]</f>
        <v>266.84000000000003</v>
      </c>
      <c r="D24" s="8">
        <f>Tabel2[[#This Row],['# tom green]]+Tabel2[[#This Row],['#tom coloured]]+Tabel2[[#This Row],['#tom red]]</f>
        <v>62</v>
      </c>
      <c r="E24" s="2">
        <v>59</v>
      </c>
      <c r="F24" s="2">
        <v>243.3</v>
      </c>
      <c r="G24" s="2">
        <v>3</v>
      </c>
      <c r="H24" s="2">
        <v>23.54</v>
      </c>
      <c r="I24" s="2"/>
      <c r="J24" s="2"/>
      <c r="K24" s="8"/>
      <c r="L24" s="35"/>
    </row>
    <row r="25" spans="1:12" x14ac:dyDescent="0.2">
      <c r="A25" s="2">
        <v>306</v>
      </c>
      <c r="B25" s="2" t="s">
        <v>55</v>
      </c>
      <c r="C25" s="8">
        <f>Tabel2[[#This Row],[FW green]]+Tabel2[[#This Row],[Fw tom coloured]]+Tabel2[[#This Row],[FW tom red]]</f>
        <v>289.56</v>
      </c>
      <c r="D25" s="8">
        <f>Tabel2[[#This Row],['# tom green]]+Tabel2[[#This Row],['#tom coloured]]+Tabel2[[#This Row],['#tom red]]</f>
        <v>63</v>
      </c>
      <c r="E25" s="2">
        <v>63</v>
      </c>
      <c r="F25" s="2">
        <v>289.56</v>
      </c>
      <c r="G25" s="2"/>
      <c r="H25" s="2"/>
      <c r="I25" s="2"/>
      <c r="J25" s="2"/>
      <c r="K25" s="8"/>
      <c r="L25" s="35"/>
    </row>
    <row r="26" spans="1:12" x14ac:dyDescent="0.2">
      <c r="A26" s="2">
        <v>306</v>
      </c>
      <c r="B26" s="2" t="s">
        <v>56</v>
      </c>
      <c r="C26" s="8">
        <f>Tabel2[[#This Row],[FW green]]+Tabel2[[#This Row],[Fw tom coloured]]+Tabel2[[#This Row],[FW tom red]]</f>
        <v>256.06</v>
      </c>
      <c r="D26" s="8">
        <f>Tabel2[[#This Row],['# tom green]]+Tabel2[[#This Row],['#tom coloured]]+Tabel2[[#This Row],['#tom red]]</f>
        <v>60</v>
      </c>
      <c r="E26" s="2">
        <v>60</v>
      </c>
      <c r="F26" s="2">
        <v>256.06</v>
      </c>
      <c r="G26" s="2"/>
      <c r="H26" s="2"/>
      <c r="I26" s="2"/>
      <c r="J26" s="2"/>
      <c r="K26" s="8"/>
      <c r="L26" s="35"/>
    </row>
    <row r="27" spans="1:12" x14ac:dyDescent="0.2">
      <c r="A27" s="2">
        <v>306</v>
      </c>
      <c r="B27" s="2" t="s">
        <v>57</v>
      </c>
      <c r="C27" s="8">
        <f>Tabel2[[#This Row],[FW green]]+Tabel2[[#This Row],[Fw tom coloured]]+Tabel2[[#This Row],[FW tom red]]</f>
        <v>204.04</v>
      </c>
      <c r="D27" s="8">
        <f>Tabel2[[#This Row],['# tom green]]+Tabel2[[#This Row],['#tom coloured]]+Tabel2[[#This Row],['#tom red]]</f>
        <v>52</v>
      </c>
      <c r="E27" s="2">
        <v>52</v>
      </c>
      <c r="F27" s="2">
        <v>204.04</v>
      </c>
      <c r="G27" s="2"/>
      <c r="H27" s="2"/>
      <c r="I27" s="2"/>
      <c r="J27" s="2"/>
      <c r="K27" s="8"/>
      <c r="L27" s="35"/>
    </row>
    <row r="28" spans="1:12" ht="16" thickBot="1" x14ac:dyDescent="0.25">
      <c r="A28" s="2">
        <v>306</v>
      </c>
      <c r="B28" s="2" t="s">
        <v>58</v>
      </c>
      <c r="C28" s="4">
        <f>Tabel2[[#This Row],[FW green]]+Tabel2[[#This Row],[Fw tom coloured]]+Tabel2[[#This Row],[FW tom red]]</f>
        <v>277.77999999999997</v>
      </c>
      <c r="D28" s="4">
        <f>Tabel2[[#This Row],['# tom green]]+Tabel2[[#This Row],['#tom coloured]]+Tabel2[[#This Row],['#tom red]]</f>
        <v>56</v>
      </c>
      <c r="E28" s="2">
        <v>55</v>
      </c>
      <c r="F28" s="2">
        <v>268.5</v>
      </c>
      <c r="G28" s="2">
        <v>1</v>
      </c>
      <c r="H28" s="2">
        <v>9.2799999999999994</v>
      </c>
      <c r="I28" s="2"/>
      <c r="J28" s="2"/>
    </row>
    <row r="29" spans="1:12" ht="16" thickBot="1" x14ac:dyDescent="0.25">
      <c r="A29" s="5">
        <v>306</v>
      </c>
      <c r="B29" s="30"/>
      <c r="C29" s="6">
        <f>AVERAGE(C23:C28)</f>
        <v>262.20333333333332</v>
      </c>
      <c r="D29" s="30">
        <f>Tabel2[[#This Row],['# tom green]]+Tabel2[[#This Row],['#tom coloured]]+Tabel2[[#This Row],['#tom red]]</f>
        <v>59.166666666666664</v>
      </c>
      <c r="E29" s="6">
        <f t="shared" ref="E29:J29" si="3">AVERAGE(E23:E28)</f>
        <v>57.166666666666664</v>
      </c>
      <c r="F29" s="6">
        <f t="shared" si="3"/>
        <v>256.73333333333329</v>
      </c>
      <c r="G29" s="6">
        <f t="shared" si="3"/>
        <v>2</v>
      </c>
      <c r="H29" s="6">
        <f t="shared" si="3"/>
        <v>16.41</v>
      </c>
      <c r="I29" s="6">
        <f t="shared" si="3"/>
        <v>0</v>
      </c>
      <c r="J29" s="6">
        <f t="shared" si="3"/>
        <v>0</v>
      </c>
      <c r="K29" s="68">
        <f>_xlfn.STDEV.S(C23:C28)/(SQRT(COUNT(C23:C28)))</f>
        <v>12.534417063075365</v>
      </c>
      <c r="L29" s="69">
        <f>_xlfn.STDEV.S(D23:D28)/(SQRT(COUNT(D23:D28)))</f>
        <v>1.8333333333333337</v>
      </c>
    </row>
    <row r="30" spans="1:12" x14ac:dyDescent="0.2">
      <c r="A30" s="4">
        <v>307</v>
      </c>
      <c r="B30" s="4" t="s">
        <v>59</v>
      </c>
      <c r="C30" s="8">
        <f>Tabel2[[#This Row],[FW green]]+Tabel2[[#This Row],[Fw tom coloured]]+Tabel2[[#This Row],[FW tom red]]</f>
        <v>213.61999999999998</v>
      </c>
      <c r="D30" s="8">
        <f>Tabel2[[#This Row],['# tom green]]+Tabel2[[#This Row],['#tom coloured]]+Tabel2[[#This Row],['#tom red]]</f>
        <v>55</v>
      </c>
      <c r="E30" s="4">
        <v>54</v>
      </c>
      <c r="F30" s="4">
        <v>207.42</v>
      </c>
      <c r="G30" s="4">
        <v>1</v>
      </c>
      <c r="H30" s="4">
        <v>6.2</v>
      </c>
      <c r="I30" s="4"/>
      <c r="J30" s="4"/>
      <c r="K30" s="8"/>
      <c r="L30" s="35"/>
    </row>
    <row r="31" spans="1:12" x14ac:dyDescent="0.2">
      <c r="A31" s="2">
        <v>307</v>
      </c>
      <c r="B31" s="2" t="s">
        <v>60</v>
      </c>
      <c r="C31" s="8">
        <f>Tabel2[[#This Row],[FW green]]+Tabel2[[#This Row],[Fw tom coloured]]+Tabel2[[#This Row],[FW tom red]]</f>
        <v>227.06</v>
      </c>
      <c r="D31" s="8">
        <f>Tabel2[[#This Row],['# tom green]]+Tabel2[[#This Row],['#tom coloured]]+Tabel2[[#This Row],['#tom red]]</f>
        <v>50</v>
      </c>
      <c r="E31" s="2">
        <v>49</v>
      </c>
      <c r="F31" s="2">
        <v>220.36</v>
      </c>
      <c r="G31" s="2"/>
      <c r="H31" s="2"/>
      <c r="I31" s="2">
        <v>1</v>
      </c>
      <c r="J31" s="2">
        <v>6.7</v>
      </c>
      <c r="K31" s="8"/>
      <c r="L31" s="35"/>
    </row>
    <row r="32" spans="1:12" x14ac:dyDescent="0.2">
      <c r="A32" s="2">
        <v>307</v>
      </c>
      <c r="B32" s="2" t="s">
        <v>61</v>
      </c>
      <c r="C32" s="8">
        <f>Tabel2[[#This Row],[FW green]]+Tabel2[[#This Row],[Fw tom coloured]]+Tabel2[[#This Row],[FW tom red]]</f>
        <v>199.04</v>
      </c>
      <c r="D32" s="8">
        <f>Tabel2[[#This Row],['# tom green]]+Tabel2[[#This Row],['#tom coloured]]+Tabel2[[#This Row],['#tom red]]</f>
        <v>48</v>
      </c>
      <c r="E32" s="2">
        <v>46</v>
      </c>
      <c r="F32" s="2">
        <v>189.1</v>
      </c>
      <c r="G32" s="2">
        <v>2</v>
      </c>
      <c r="H32" s="2">
        <v>9.94</v>
      </c>
      <c r="I32" s="2"/>
      <c r="J32" s="2"/>
      <c r="K32" s="8"/>
      <c r="L32" s="35"/>
    </row>
    <row r="33" spans="1:12" x14ac:dyDescent="0.2">
      <c r="A33" s="2">
        <v>307</v>
      </c>
      <c r="B33" s="2" t="s">
        <v>62</v>
      </c>
      <c r="C33" s="8">
        <f>Tabel2[[#This Row],[FW green]]+Tabel2[[#This Row],[Fw tom coloured]]+Tabel2[[#This Row],[FW tom red]]</f>
        <v>262.71999999999997</v>
      </c>
      <c r="D33" s="8">
        <f>Tabel2[[#This Row],['# tom green]]+Tabel2[[#This Row],['#tom coloured]]+Tabel2[[#This Row],['#tom red]]</f>
        <v>51</v>
      </c>
      <c r="E33" s="2">
        <v>50</v>
      </c>
      <c r="F33" s="2">
        <v>257.44</v>
      </c>
      <c r="G33" s="2">
        <v>1</v>
      </c>
      <c r="H33" s="2">
        <v>5.28</v>
      </c>
      <c r="I33" s="2"/>
      <c r="J33" s="2"/>
      <c r="K33" s="8"/>
      <c r="L33" s="35"/>
    </row>
    <row r="34" spans="1:12" x14ac:dyDescent="0.2">
      <c r="A34" s="2">
        <v>307</v>
      </c>
      <c r="B34" s="2" t="s">
        <v>63</v>
      </c>
      <c r="C34" s="8">
        <f>Tabel2[[#This Row],[FW green]]+Tabel2[[#This Row],[Fw tom coloured]]+Tabel2[[#This Row],[FW tom red]]</f>
        <v>202.82</v>
      </c>
      <c r="D34" s="8">
        <f>Tabel2[[#This Row],['# tom green]]+Tabel2[[#This Row],['#tom coloured]]+Tabel2[[#This Row],['#tom red]]</f>
        <v>44</v>
      </c>
      <c r="E34" s="2">
        <v>44</v>
      </c>
      <c r="F34" s="2">
        <v>202.82</v>
      </c>
      <c r="G34" s="2"/>
      <c r="H34" s="2"/>
      <c r="I34" s="2"/>
      <c r="J34" s="2"/>
      <c r="K34" s="8"/>
      <c r="L34" s="35"/>
    </row>
    <row r="35" spans="1:12" ht="16" thickBot="1" x14ac:dyDescent="0.25">
      <c r="A35" s="2">
        <v>307</v>
      </c>
      <c r="B35" s="2" t="s">
        <v>64</v>
      </c>
      <c r="C35" s="4">
        <f>Tabel2[[#This Row],[FW green]]+Tabel2[[#This Row],[Fw tom coloured]]+Tabel2[[#This Row],[FW tom red]]</f>
        <v>201.8</v>
      </c>
      <c r="D35" s="4">
        <f>Tabel2[[#This Row],['# tom green]]+Tabel2[[#This Row],['#tom coloured]]+Tabel2[[#This Row],['#tom red]]</f>
        <v>43</v>
      </c>
      <c r="E35" s="2">
        <v>42</v>
      </c>
      <c r="F35" s="2">
        <v>196.8</v>
      </c>
      <c r="G35" s="2">
        <v>1</v>
      </c>
      <c r="H35" s="2">
        <v>5</v>
      </c>
      <c r="I35" s="2"/>
      <c r="J35" s="2"/>
    </row>
    <row r="36" spans="1:12" ht="16" thickBot="1" x14ac:dyDescent="0.25">
      <c r="A36" s="5">
        <v>307</v>
      </c>
      <c r="B36" s="30"/>
      <c r="C36" s="6">
        <f>AVERAGE(C30:C35)</f>
        <v>217.84333333333328</v>
      </c>
      <c r="D36" s="30">
        <f>Tabel2[[#This Row],['# tom green]]+Tabel2[[#This Row],['#tom coloured]]+Tabel2[[#This Row],['#tom red]]</f>
        <v>49.75</v>
      </c>
      <c r="E36" s="6">
        <f t="shared" ref="E36:J36" si="4">AVERAGE(E30:E35)</f>
        <v>47.5</v>
      </c>
      <c r="F36" s="6">
        <f t="shared" si="4"/>
        <v>212.3233333333333</v>
      </c>
      <c r="G36" s="6">
        <f t="shared" si="4"/>
        <v>1.25</v>
      </c>
      <c r="H36" s="6">
        <f t="shared" si="4"/>
        <v>6.6050000000000004</v>
      </c>
      <c r="I36" s="6">
        <f t="shared" si="4"/>
        <v>1</v>
      </c>
      <c r="J36" s="6">
        <f t="shared" si="4"/>
        <v>6.7</v>
      </c>
      <c r="K36" s="68">
        <f>_xlfn.STDEV.S(C30:C35)/(SQRT(COUNT(C30:C35)))</f>
        <v>9.9219506370697097</v>
      </c>
      <c r="L36" s="69">
        <f>_xlfn.STDEV.S(D30:D35)/(SQRT(COUNT(D30:D35)))</f>
        <v>1.8393839548428528</v>
      </c>
    </row>
    <row r="37" spans="1:12" x14ac:dyDescent="0.2">
      <c r="A37" s="4">
        <v>308</v>
      </c>
      <c r="B37" s="4" t="s">
        <v>70</v>
      </c>
      <c r="C37" s="8">
        <f>Tabel2[[#This Row],[FW green]]+Tabel2[[#This Row],[Fw tom coloured]]+Tabel2[[#This Row],[FW tom red]]</f>
        <v>259.52</v>
      </c>
      <c r="D37" s="8">
        <f>Tabel2[[#This Row],['# tom green]]+Tabel2[[#This Row],['#tom coloured]]+Tabel2[[#This Row],['#tom red]]</f>
        <v>51</v>
      </c>
      <c r="E37" s="4">
        <v>51</v>
      </c>
      <c r="F37" s="4">
        <v>259.52</v>
      </c>
      <c r="G37" s="4">
        <v>0</v>
      </c>
      <c r="H37" s="4">
        <v>0</v>
      </c>
      <c r="I37" s="4">
        <v>0</v>
      </c>
      <c r="J37" s="4">
        <v>0</v>
      </c>
      <c r="K37" s="8"/>
      <c r="L37" s="35"/>
    </row>
    <row r="38" spans="1:12" x14ac:dyDescent="0.2">
      <c r="A38" s="2">
        <v>308</v>
      </c>
      <c r="B38" s="2" t="s">
        <v>65</v>
      </c>
      <c r="C38" s="8">
        <f>Tabel2[[#This Row],[FW green]]+Tabel2[[#This Row],[Fw tom coloured]]+Tabel2[[#This Row],[FW tom red]]</f>
        <v>229.64</v>
      </c>
      <c r="D38" s="8">
        <f>Tabel2[[#This Row],['# tom green]]+Tabel2[[#This Row],['#tom coloured]]+Tabel2[[#This Row],['#tom red]]</f>
        <v>45</v>
      </c>
      <c r="E38" s="2">
        <v>45</v>
      </c>
      <c r="F38" s="2">
        <v>229.64</v>
      </c>
      <c r="G38" s="2"/>
      <c r="H38" s="2"/>
      <c r="I38" s="2"/>
      <c r="J38" s="2"/>
      <c r="K38" s="8"/>
      <c r="L38" s="35"/>
    </row>
    <row r="39" spans="1:12" x14ac:dyDescent="0.2">
      <c r="A39" s="2">
        <v>308</v>
      </c>
      <c r="B39" s="2" t="s">
        <v>66</v>
      </c>
      <c r="C39" s="8">
        <f>Tabel2[[#This Row],[FW green]]+Tabel2[[#This Row],[Fw tom coloured]]+Tabel2[[#This Row],[FW tom red]]</f>
        <v>210.58</v>
      </c>
      <c r="D39" s="8">
        <f>Tabel2[[#This Row],['# tom green]]+Tabel2[[#This Row],['#tom coloured]]+Tabel2[[#This Row],['#tom red]]</f>
        <v>49</v>
      </c>
      <c r="E39" s="2">
        <v>49</v>
      </c>
      <c r="F39" s="2">
        <v>210.58</v>
      </c>
      <c r="G39" s="2"/>
      <c r="H39" s="2"/>
      <c r="I39" s="2"/>
      <c r="J39" s="2"/>
      <c r="K39" s="8"/>
      <c r="L39" s="35"/>
    </row>
    <row r="40" spans="1:12" x14ac:dyDescent="0.2">
      <c r="A40" s="2">
        <v>308</v>
      </c>
      <c r="B40" s="2" t="s">
        <v>67</v>
      </c>
      <c r="C40" s="8">
        <f>Tabel2[[#This Row],[FW green]]+Tabel2[[#This Row],[Fw tom coloured]]+Tabel2[[#This Row],[FW tom red]]</f>
        <v>296.5</v>
      </c>
      <c r="D40" s="8">
        <f>Tabel2[[#This Row],['# tom green]]+Tabel2[[#This Row],['#tom coloured]]+Tabel2[[#This Row],['#tom red]]</f>
        <v>70</v>
      </c>
      <c r="E40" s="2">
        <v>70</v>
      </c>
      <c r="F40" s="2">
        <v>296.5</v>
      </c>
      <c r="G40" s="2"/>
      <c r="H40" s="2"/>
      <c r="I40" s="2"/>
      <c r="J40" s="2"/>
      <c r="K40" s="8"/>
      <c r="L40" s="35"/>
    </row>
    <row r="41" spans="1:12" x14ac:dyDescent="0.2">
      <c r="A41" s="2">
        <v>308</v>
      </c>
      <c r="B41" s="2" t="s">
        <v>68</v>
      </c>
      <c r="C41" s="8">
        <f>Tabel2[[#This Row],[FW green]]+Tabel2[[#This Row],[Fw tom coloured]]+Tabel2[[#This Row],[FW tom red]]</f>
        <v>227.6</v>
      </c>
      <c r="D41" s="8">
        <f>Tabel2[[#This Row],['# tom green]]+Tabel2[[#This Row],['#tom coloured]]+Tabel2[[#This Row],['#tom red]]</f>
        <v>52</v>
      </c>
      <c r="E41" s="2">
        <v>52</v>
      </c>
      <c r="F41" s="2">
        <v>227.6</v>
      </c>
      <c r="G41" s="2"/>
      <c r="H41" s="2"/>
      <c r="I41" s="2"/>
      <c r="J41" s="2"/>
      <c r="K41" s="8"/>
      <c r="L41" s="35"/>
    </row>
    <row r="42" spans="1:12" ht="16" thickBot="1" x14ac:dyDescent="0.25">
      <c r="A42" s="2">
        <v>308</v>
      </c>
      <c r="B42" s="2" t="s">
        <v>69</v>
      </c>
      <c r="C42" s="4">
        <f>Tabel2[[#This Row],[FW green]]+Tabel2[[#This Row],[Fw tom coloured]]+Tabel2[[#This Row],[FW tom red]]</f>
        <v>19.62</v>
      </c>
      <c r="D42" s="4">
        <f>Tabel2[[#This Row],['# tom green]]+Tabel2[[#This Row],['#tom coloured]]+Tabel2[[#This Row],['#tom red]]</f>
        <v>61</v>
      </c>
      <c r="E42" s="2">
        <v>61</v>
      </c>
      <c r="F42" s="2">
        <v>19.62</v>
      </c>
      <c r="G42" s="2"/>
      <c r="H42" s="2"/>
      <c r="I42" s="2"/>
      <c r="J42" s="2"/>
    </row>
    <row r="43" spans="1:12" ht="16" thickBot="1" x14ac:dyDescent="0.25">
      <c r="A43" s="5">
        <v>307</v>
      </c>
      <c r="B43" s="30"/>
      <c r="C43" s="6">
        <f>AVERAGE(C37:C42)</f>
        <v>207.24333333333331</v>
      </c>
      <c r="D43" s="30">
        <f>Tabel2[[#This Row],['# tom green]]+Tabel2[[#This Row],['#tom coloured]]+Tabel2[[#This Row],['#tom red]]</f>
        <v>54.666666666666664</v>
      </c>
      <c r="E43" s="6">
        <f t="shared" ref="E43:J43" si="5">AVERAGE(E37:E42)</f>
        <v>54.666666666666664</v>
      </c>
      <c r="F43" s="6">
        <f t="shared" si="5"/>
        <v>207.24333333333331</v>
      </c>
      <c r="G43" s="6">
        <f t="shared" si="5"/>
        <v>0</v>
      </c>
      <c r="H43" s="6">
        <f t="shared" si="5"/>
        <v>0</v>
      </c>
      <c r="I43" s="6">
        <f t="shared" si="5"/>
        <v>0</v>
      </c>
      <c r="J43" s="6">
        <f t="shared" si="5"/>
        <v>0</v>
      </c>
      <c r="K43" s="68">
        <f>_xlfn.STDEV.S(C37:C42)/(SQRT(COUNT(C37:C42)))</f>
        <v>39.509178483542861</v>
      </c>
      <c r="L43" s="69">
        <f>_xlfn.STDEV.S(D37:D42)/(SQRT(COUNT(D37:D42)))</f>
        <v>3.7475918193480471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6CEE3-671D-4865-94EB-601E1D60BAC3}">
  <dimension ref="A1:P44"/>
  <sheetViews>
    <sheetView workbookViewId="0">
      <selection activeCell="I30" sqref="I30"/>
    </sheetView>
  </sheetViews>
  <sheetFormatPr baseColWidth="10" defaultColWidth="8.83203125" defaultRowHeight="15" x14ac:dyDescent="0.2"/>
  <cols>
    <col min="5" max="5" width="13.6640625" customWidth="1"/>
    <col min="6" max="6" width="11.83203125" customWidth="1"/>
    <col min="7" max="7" width="16" customWidth="1"/>
    <col min="8" max="10" width="13.83203125" customWidth="1"/>
    <col min="12" max="12" width="9.1640625" style="13"/>
    <col min="13" max="13" width="10.1640625" style="13" customWidth="1"/>
    <col min="14" max="14" width="12" customWidth="1"/>
    <col min="16" max="16" width="11.33203125" customWidth="1"/>
  </cols>
  <sheetData>
    <row r="1" spans="1:16" ht="16" thickBot="1" x14ac:dyDescent="0.25">
      <c r="A1" s="33" t="s">
        <v>324</v>
      </c>
      <c r="B1" s="19" t="s">
        <v>0</v>
      </c>
      <c r="C1" s="20" t="s">
        <v>74</v>
      </c>
      <c r="D1" t="s">
        <v>101</v>
      </c>
      <c r="E1" s="22" t="s">
        <v>71</v>
      </c>
      <c r="F1" s="22" t="s">
        <v>79</v>
      </c>
      <c r="G1" s="23" t="s">
        <v>72</v>
      </c>
      <c r="H1" s="23" t="s">
        <v>80</v>
      </c>
      <c r="I1" s="24" t="s">
        <v>73</v>
      </c>
      <c r="J1" s="24" t="s">
        <v>78</v>
      </c>
      <c r="K1" s="32" t="s">
        <v>75</v>
      </c>
      <c r="L1" s="21" t="s">
        <v>40</v>
      </c>
      <c r="M1" s="21" t="s">
        <v>39</v>
      </c>
      <c r="N1" s="1" t="s">
        <v>334</v>
      </c>
      <c r="O1" s="3" t="s">
        <v>81</v>
      </c>
      <c r="P1" s="75" t="s">
        <v>338</v>
      </c>
    </row>
    <row r="2" spans="1:16" x14ac:dyDescent="0.2">
      <c r="A2" s="4">
        <v>301</v>
      </c>
      <c r="B2" s="4" t="s">
        <v>3</v>
      </c>
      <c r="C2" s="4">
        <v>368.34</v>
      </c>
      <c r="D2">
        <f>Tabel1[[#This Row],['# tom green]]+Tabel1[[#This Row],['#tom coloured]]+Tabel1[[#This Row],['#tom red]]</f>
        <v>55</v>
      </c>
      <c r="E2" s="4">
        <v>29</v>
      </c>
      <c r="F2" s="4">
        <v>161.29</v>
      </c>
      <c r="G2" s="4">
        <v>10</v>
      </c>
      <c r="H2" s="4">
        <v>69.61</v>
      </c>
      <c r="I2" s="4">
        <v>16</v>
      </c>
      <c r="J2" s="4">
        <v>137.37</v>
      </c>
      <c r="K2" s="8"/>
      <c r="L2" s="12"/>
      <c r="O2" s="74">
        <f>(Tabel1[[#This Row],[FW red]]/(Tabel1[[#This Row],[fw green]]+Tabel1[[#This Row],[Fw coloured]]+Tabel1[[#This Row],[FW red]]))*100</f>
        <v>37.301436446085759</v>
      </c>
      <c r="P2" s="8"/>
    </row>
    <row r="3" spans="1:16" x14ac:dyDescent="0.2">
      <c r="A3" s="4">
        <v>301</v>
      </c>
      <c r="B3" s="2" t="s">
        <v>4</v>
      </c>
      <c r="C3" s="2">
        <v>232.35</v>
      </c>
      <c r="D3">
        <f>Tabel1[[#This Row],['# tom green]]+Tabel1[[#This Row],['#tom coloured]]+Tabel1[[#This Row],['#tom red]]</f>
        <v>37</v>
      </c>
      <c r="E3" s="2">
        <v>24</v>
      </c>
      <c r="F3" s="2">
        <v>122.45</v>
      </c>
      <c r="G3" s="2">
        <v>6</v>
      </c>
      <c r="H3" s="2">
        <v>41.19</v>
      </c>
      <c r="I3" s="2">
        <v>7</v>
      </c>
      <c r="J3" s="2">
        <v>68.680000000000007</v>
      </c>
      <c r="K3" s="8"/>
      <c r="L3" s="10"/>
      <c r="O3" s="74">
        <f>(Tabel1[[#This Row],[FW red]]/(Tabel1[[#This Row],[fw green]]+Tabel1[[#This Row],[Fw coloured]]+Tabel1[[#This Row],[FW red]]))*100</f>
        <v>29.562672176308546</v>
      </c>
      <c r="P3" s="8"/>
    </row>
    <row r="4" spans="1:16" x14ac:dyDescent="0.2">
      <c r="A4" s="4">
        <v>301</v>
      </c>
      <c r="B4" s="2" t="s">
        <v>5</v>
      </c>
      <c r="C4" s="2">
        <v>279.54000000000002</v>
      </c>
      <c r="D4">
        <f>Tabel1[[#This Row],['# tom green]]+Tabel1[[#This Row],['#tom coloured]]+Tabel1[[#This Row],['#tom red]]</f>
        <v>42</v>
      </c>
      <c r="E4" s="2">
        <v>24</v>
      </c>
      <c r="F4" s="2">
        <v>123.57</v>
      </c>
      <c r="G4" s="2">
        <v>14</v>
      </c>
      <c r="H4" s="2">
        <v>114.15</v>
      </c>
      <c r="I4" s="2">
        <v>4</v>
      </c>
      <c r="J4" s="2">
        <v>41.8</v>
      </c>
      <c r="K4" s="8"/>
      <c r="L4" s="10"/>
      <c r="O4" s="74">
        <f>(Tabel1[[#This Row],[FW red]]/(Tabel1[[#This Row],[fw green]]+Tabel1[[#This Row],[Fw coloured]]+Tabel1[[#This Row],[FW red]]))*100</f>
        <v>14.954207212364052</v>
      </c>
      <c r="P4" s="8"/>
    </row>
    <row r="5" spans="1:16" x14ac:dyDescent="0.2">
      <c r="A5" s="4">
        <v>301</v>
      </c>
      <c r="B5" s="2" t="s">
        <v>6</v>
      </c>
      <c r="C5" s="2">
        <v>258.81</v>
      </c>
      <c r="D5">
        <f>Tabel1[[#This Row],['# tom green]]+Tabel1[[#This Row],['#tom coloured]]+Tabel1[[#This Row],['#tom red]]</f>
        <v>38</v>
      </c>
      <c r="E5" s="2">
        <v>18</v>
      </c>
      <c r="F5" s="2">
        <v>99.79</v>
      </c>
      <c r="G5" s="2">
        <v>10</v>
      </c>
      <c r="H5" s="2">
        <v>67.98</v>
      </c>
      <c r="I5" s="2">
        <v>10</v>
      </c>
      <c r="J5" s="2">
        <v>91.06</v>
      </c>
      <c r="K5" s="8"/>
      <c r="L5" s="10"/>
      <c r="O5" s="74">
        <f>(Tabel1[[#This Row],[FW red]]/(Tabel1[[#This Row],[fw green]]+Tabel1[[#This Row],[Fw coloured]]+Tabel1[[#This Row],[FW red]]))*100</f>
        <v>35.181393192442911</v>
      </c>
      <c r="P5" s="8"/>
    </row>
    <row r="6" spans="1:16" x14ac:dyDescent="0.2">
      <c r="A6" s="4">
        <v>301</v>
      </c>
      <c r="B6" s="2" t="s">
        <v>7</v>
      </c>
      <c r="C6" s="2">
        <v>303.23</v>
      </c>
      <c r="D6">
        <f>Tabel1[[#This Row],['# tom green]]+Tabel1[[#This Row],['#tom coloured]]+Tabel1[[#This Row],['#tom red]]</f>
        <v>45</v>
      </c>
      <c r="E6" s="2">
        <v>24</v>
      </c>
      <c r="F6" s="2">
        <v>133.71</v>
      </c>
      <c r="G6" s="2">
        <v>11</v>
      </c>
      <c r="H6" s="2">
        <v>80.069999999999993</v>
      </c>
      <c r="I6" s="2">
        <v>10</v>
      </c>
      <c r="J6" s="2">
        <v>89.49</v>
      </c>
      <c r="K6" s="8"/>
      <c r="L6" s="10"/>
      <c r="O6" s="74">
        <f>(Tabel1[[#This Row],[FW red]]/(Tabel1[[#This Row],[fw green]]+Tabel1[[#This Row],[Fw coloured]]+Tabel1[[#This Row],[FW red]]))*100</f>
        <v>29.508358888119496</v>
      </c>
      <c r="P6" s="8"/>
    </row>
    <row r="7" spans="1:16" ht="16" thickBot="1" x14ac:dyDescent="0.25">
      <c r="A7" s="4">
        <v>301</v>
      </c>
      <c r="B7" s="3" t="s">
        <v>8</v>
      </c>
      <c r="C7" s="3">
        <v>284.18</v>
      </c>
      <c r="D7">
        <f>Tabel1[[#This Row],['# tom green]]+Tabel1[[#This Row],['#tom coloured]]+Tabel1[[#This Row],['#tom red]]</f>
        <v>46</v>
      </c>
      <c r="E7" s="3">
        <v>19</v>
      </c>
      <c r="F7" s="3">
        <v>86.31</v>
      </c>
      <c r="G7" s="3">
        <v>17</v>
      </c>
      <c r="H7" s="3">
        <v>114.16</v>
      </c>
      <c r="I7" s="3">
        <v>10</v>
      </c>
      <c r="J7" s="3">
        <v>83.8</v>
      </c>
      <c r="K7" s="8"/>
      <c r="L7" s="11"/>
      <c r="O7" s="74">
        <f>(Tabel1[[#This Row],[FW red]]/(Tabel1[[#This Row],[fw green]]+Tabel1[[#This Row],[Fw coloured]]+Tabel1[[#This Row],[FW red]]))*100</f>
        <v>29.479016428043764</v>
      </c>
      <c r="P7" s="8"/>
    </row>
    <row r="8" spans="1:16" ht="16" thickBot="1" x14ac:dyDescent="0.25">
      <c r="A8" s="8"/>
      <c r="B8" s="5" t="s">
        <v>103</v>
      </c>
      <c r="C8" s="6">
        <f>AVERAGE(C2:C7)</f>
        <v>287.74166666666667</v>
      </c>
      <c r="D8" s="42">
        <f>Tabel1[[#This Row],['# tom green]]+Tabel1[[#This Row],['#tom coloured]]+Tabel1[[#This Row],['#tom red]]</f>
        <v>43.833333333333336</v>
      </c>
      <c r="E8" s="16">
        <f t="shared" ref="E8:J8" si="0">AVERAGE(E2:E7)</f>
        <v>23</v>
      </c>
      <c r="F8" s="6">
        <f t="shared" si="0"/>
        <v>121.18666666666668</v>
      </c>
      <c r="G8" s="16">
        <f t="shared" si="0"/>
        <v>11.333333333333334</v>
      </c>
      <c r="H8" s="6">
        <f t="shared" si="0"/>
        <v>81.193333333333328</v>
      </c>
      <c r="I8" s="15">
        <f t="shared" si="0"/>
        <v>9.5</v>
      </c>
      <c r="J8" s="6">
        <f t="shared" si="0"/>
        <v>85.366666666666674</v>
      </c>
      <c r="K8" s="30"/>
      <c r="L8" s="14">
        <f>_xlfn.STDEV.S(C2:C7)/(SQRT(COUNT(C2:C7)))</f>
        <v>18.90432991260057</v>
      </c>
      <c r="M8" s="6">
        <f>_xlfn.STDEV.S(D2:D7)/(SQRT(COUNT(D2:D7)))</f>
        <v>2.6760252448568442</v>
      </c>
      <c r="N8" s="73">
        <f>_xlfn.STDEV.S(J2:J7)/(SQRT(COUNT(J2:J7)))</f>
        <v>12.822787441807561</v>
      </c>
      <c r="O8" s="76">
        <f>(Tabel1[[#This Row],[FW red]]/(Tabel1[[#This Row],[fw green]]+Tabel1[[#This Row],[Fw coloured]]+Tabel1[[#This Row],[FW red]]))*100</f>
        <v>29.667299939761833</v>
      </c>
      <c r="P8" s="2"/>
    </row>
    <row r="9" spans="1:16" x14ac:dyDescent="0.2">
      <c r="A9" s="2">
        <v>302</v>
      </c>
      <c r="B9" s="4" t="s">
        <v>9</v>
      </c>
      <c r="C9" s="4">
        <f>SUM(F9,H9,J9)</f>
        <v>337.01</v>
      </c>
      <c r="D9">
        <f>Tabel1[[#This Row],['# tom green]]+Tabel1[[#This Row],['#tom coloured]]+Tabel1[[#This Row],['#tom red]]</f>
        <v>47</v>
      </c>
      <c r="E9" s="4">
        <v>22</v>
      </c>
      <c r="F9" s="4">
        <v>102.1</v>
      </c>
      <c r="G9" s="4">
        <v>6</v>
      </c>
      <c r="H9" s="2">
        <v>42.6</v>
      </c>
      <c r="I9" s="2">
        <v>19</v>
      </c>
      <c r="J9" s="2">
        <v>192.31</v>
      </c>
      <c r="K9" s="8"/>
      <c r="L9" s="12"/>
      <c r="M9" s="17"/>
      <c r="O9" s="74">
        <f>(Tabel1[[#This Row],[FW red]]/(Tabel1[[#This Row],[fw green]]+Tabel1[[#This Row],[Fw coloured]]+Tabel1[[#This Row],[FW red]]))*100</f>
        <v>57.063588617548447</v>
      </c>
      <c r="P9" s="8" t="s">
        <v>335</v>
      </c>
    </row>
    <row r="10" spans="1:16" x14ac:dyDescent="0.2">
      <c r="A10" s="2">
        <v>302</v>
      </c>
      <c r="B10" s="4" t="s">
        <v>10</v>
      </c>
      <c r="C10" s="4">
        <f t="shared" ref="C10:C35" si="1">SUM(F10,H10,J10)</f>
        <v>373.84000000000003</v>
      </c>
      <c r="D10">
        <f>Tabel1[[#This Row],['# tom green]]+Tabel1[[#This Row],['#tom coloured]]+Tabel1[[#This Row],['#tom red]]</f>
        <v>60</v>
      </c>
      <c r="E10" s="2">
        <v>30</v>
      </c>
      <c r="F10" s="2">
        <v>123.11</v>
      </c>
      <c r="G10" s="2">
        <v>7</v>
      </c>
      <c r="H10" s="2">
        <v>50.24</v>
      </c>
      <c r="I10" s="2">
        <v>23</v>
      </c>
      <c r="J10" s="2">
        <v>200.49</v>
      </c>
      <c r="K10" s="8">
        <v>1</v>
      </c>
      <c r="L10" s="10"/>
      <c r="M10" s="17"/>
      <c r="O10" s="74">
        <f>(Tabel1[[#This Row],[FW red]]/(Tabel1[[#This Row],[fw green]]+Tabel1[[#This Row],[Fw coloured]]+Tabel1[[#This Row],[FW red]]))*100</f>
        <v>53.629895142306871</v>
      </c>
      <c r="P10" s="8"/>
    </row>
    <row r="11" spans="1:16" x14ac:dyDescent="0.2">
      <c r="A11" s="2">
        <v>302</v>
      </c>
      <c r="B11" s="4" t="s">
        <v>11</v>
      </c>
      <c r="C11" s="4">
        <f t="shared" si="1"/>
        <v>323.56</v>
      </c>
      <c r="D11">
        <f>Tabel1[[#This Row],['# tom green]]+Tabel1[[#This Row],['#tom coloured]]+Tabel1[[#This Row],['#tom red]]</f>
        <v>41</v>
      </c>
      <c r="E11" s="2">
        <v>11</v>
      </c>
      <c r="F11" s="2">
        <v>49.89</v>
      </c>
      <c r="G11" s="2">
        <v>6</v>
      </c>
      <c r="H11" s="2">
        <v>46.55</v>
      </c>
      <c r="I11" s="2">
        <v>24</v>
      </c>
      <c r="J11" s="2">
        <v>227.12</v>
      </c>
      <c r="K11" s="8">
        <v>1</v>
      </c>
      <c r="L11" s="10"/>
      <c r="M11" s="17"/>
      <c r="O11" s="74">
        <f>(Tabel1[[#This Row],[FW red]]/(Tabel1[[#This Row],[fw green]]+Tabel1[[#This Row],[Fw coloured]]+Tabel1[[#This Row],[FW red]]))*100</f>
        <v>70.194090740511811</v>
      </c>
      <c r="P11" s="8"/>
    </row>
    <row r="12" spans="1:16" x14ac:dyDescent="0.2">
      <c r="A12" s="2">
        <v>302</v>
      </c>
      <c r="B12" s="4" t="s">
        <v>12</v>
      </c>
      <c r="C12" s="4">
        <f t="shared" si="1"/>
        <v>315.37</v>
      </c>
      <c r="D12">
        <f>Tabel1[[#This Row],['# tom green]]+Tabel1[[#This Row],['#tom coloured]]+Tabel1[[#This Row],['#tom red]]</f>
        <v>47</v>
      </c>
      <c r="E12" s="2">
        <v>16</v>
      </c>
      <c r="F12" s="2">
        <v>56.34</v>
      </c>
      <c r="G12" s="2">
        <v>17</v>
      </c>
      <c r="H12" s="2">
        <v>126.27</v>
      </c>
      <c r="I12" s="2">
        <v>14</v>
      </c>
      <c r="J12" s="2">
        <v>132.76</v>
      </c>
      <c r="K12" s="8"/>
      <c r="L12" s="10"/>
      <c r="M12" s="17"/>
      <c r="O12" s="74">
        <f>(Tabel1[[#This Row],[FW red]]/(Tabel1[[#This Row],[fw green]]+Tabel1[[#This Row],[Fw coloured]]+Tabel1[[#This Row],[FW red]]))*100</f>
        <v>42.096584963693431</v>
      </c>
      <c r="P12" s="8"/>
    </row>
    <row r="13" spans="1:16" x14ac:dyDescent="0.2">
      <c r="A13" s="2">
        <v>302</v>
      </c>
      <c r="B13" s="4" t="s">
        <v>13</v>
      </c>
      <c r="C13" s="4">
        <f t="shared" si="1"/>
        <v>373.94</v>
      </c>
      <c r="D13">
        <f>Tabel1[[#This Row],['# tom green]]+Tabel1[[#This Row],['#tom coloured]]+Tabel1[[#This Row],['#tom red]]</f>
        <v>55</v>
      </c>
      <c r="E13" s="2">
        <v>21</v>
      </c>
      <c r="F13" s="2">
        <v>85.15</v>
      </c>
      <c r="G13" s="2">
        <v>6</v>
      </c>
      <c r="H13" s="2">
        <v>42.38</v>
      </c>
      <c r="I13" s="2">
        <v>28</v>
      </c>
      <c r="J13" s="2">
        <v>246.41</v>
      </c>
      <c r="K13" s="8"/>
      <c r="L13" s="10"/>
      <c r="M13" s="17"/>
      <c r="O13" s="74">
        <f>(Tabel1[[#This Row],[FW red]]/(Tabel1[[#This Row],[fw green]]+Tabel1[[#This Row],[Fw coloured]]+Tabel1[[#This Row],[FW red]]))*100</f>
        <v>65.895598224314057</v>
      </c>
      <c r="P13" s="8"/>
    </row>
    <row r="14" spans="1:16" ht="16" thickBot="1" x14ac:dyDescent="0.25">
      <c r="A14" s="2">
        <v>302</v>
      </c>
      <c r="B14" s="4" t="s">
        <v>14</v>
      </c>
      <c r="C14" s="4">
        <f t="shared" si="1"/>
        <v>325.83</v>
      </c>
      <c r="D14">
        <f>Tabel1[[#This Row],['# tom green]]+Tabel1[[#This Row],['#tom coloured]]+Tabel1[[#This Row],['#tom red]]</f>
        <v>59</v>
      </c>
      <c r="E14" s="3">
        <v>28</v>
      </c>
      <c r="F14" s="3">
        <v>101.75</v>
      </c>
      <c r="G14" s="3">
        <v>14</v>
      </c>
      <c r="H14" s="3">
        <v>84.2</v>
      </c>
      <c r="I14" s="3">
        <v>17</v>
      </c>
      <c r="J14" s="3">
        <v>139.88</v>
      </c>
      <c r="K14" s="8"/>
      <c r="L14" s="11"/>
      <c r="M14" s="17"/>
      <c r="O14" s="74">
        <f>(Tabel1[[#This Row],[FW red]]/(Tabel1[[#This Row],[fw green]]+Tabel1[[#This Row],[Fw coloured]]+Tabel1[[#This Row],[FW red]]))*100</f>
        <v>42.930362458950988</v>
      </c>
      <c r="P14" s="8"/>
    </row>
    <row r="15" spans="1:16" ht="16" thickBot="1" x14ac:dyDescent="0.25">
      <c r="A15" s="8"/>
      <c r="B15" s="5" t="s">
        <v>103</v>
      </c>
      <c r="C15" s="6">
        <f>AVERAGE(C9:C14)</f>
        <v>341.5916666666667</v>
      </c>
      <c r="D15" s="42">
        <f>Tabel1[[#This Row],['# tom green]]+Tabel1[[#This Row],['#tom coloured]]+Tabel1[[#This Row],['#tom red]]</f>
        <v>51.5</v>
      </c>
      <c r="E15" s="16">
        <f t="shared" ref="E15:J15" si="2">AVERAGE(E9:E14)</f>
        <v>21.333333333333332</v>
      </c>
      <c r="F15" s="6">
        <f t="shared" si="2"/>
        <v>86.389999999999986</v>
      </c>
      <c r="G15" s="16">
        <f t="shared" si="2"/>
        <v>9.3333333333333339</v>
      </c>
      <c r="H15" s="6">
        <f t="shared" si="2"/>
        <v>65.373333333333321</v>
      </c>
      <c r="I15" s="15">
        <f t="shared" si="2"/>
        <v>20.833333333333332</v>
      </c>
      <c r="J15" s="6">
        <f t="shared" si="2"/>
        <v>189.82833333333335</v>
      </c>
      <c r="K15" s="30"/>
      <c r="L15" s="14">
        <f>_xlfn.STDEV.S(C9:C14)/(SQRT(COUNT(C9:C14)))</f>
        <v>10.596396059247907</v>
      </c>
      <c r="M15" s="6">
        <f>_xlfn.STDEV.S(D9:D14)/(SQRT(COUNT(D9:D14)))</f>
        <v>3.1171568242016101</v>
      </c>
      <c r="N15" s="73">
        <f>_xlfn.STDEV.S(J9:J14)/(SQRT(COUNT(J9:J14)))</f>
        <v>18.675843473440327</v>
      </c>
      <c r="O15" s="76">
        <f>(Tabel1[[#This Row],[FW red]]/(Tabel1[[#This Row],[fw green]]+Tabel1[[#This Row],[Fw coloured]]+Tabel1[[#This Row],[FW red]]))*100</f>
        <v>55.571710863360245</v>
      </c>
      <c r="P15" s="2"/>
    </row>
    <row r="16" spans="1:16" x14ac:dyDescent="0.2">
      <c r="A16" s="2">
        <v>303</v>
      </c>
      <c r="B16" s="4" t="s">
        <v>15</v>
      </c>
      <c r="C16" s="4">
        <f t="shared" si="1"/>
        <v>298.96000000000004</v>
      </c>
      <c r="D16">
        <f>Tabel1[[#This Row],['# tom green]]+Tabel1[[#This Row],['#tom coloured]]+Tabel1[[#This Row],['#tom red]]</f>
        <v>43</v>
      </c>
      <c r="E16" s="4">
        <v>24</v>
      </c>
      <c r="F16" s="4">
        <v>135.68</v>
      </c>
      <c r="G16" s="4">
        <v>7</v>
      </c>
      <c r="H16" s="2">
        <v>57.69</v>
      </c>
      <c r="I16" s="2">
        <v>12</v>
      </c>
      <c r="J16" s="2">
        <v>105.59</v>
      </c>
      <c r="K16" s="8"/>
      <c r="L16" s="12"/>
      <c r="M16" s="17"/>
      <c r="O16" s="74">
        <f>(Tabel1[[#This Row],[FW red]]/(Tabel1[[#This Row],[fw green]]+Tabel1[[#This Row],[Fw coloured]]+Tabel1[[#This Row],[FW red]]))*100</f>
        <v>35.319106234947817</v>
      </c>
      <c r="P16" s="8"/>
    </row>
    <row r="17" spans="1:16" x14ac:dyDescent="0.2">
      <c r="A17" s="2">
        <v>303</v>
      </c>
      <c r="B17" s="4" t="s">
        <v>16</v>
      </c>
      <c r="C17" s="4">
        <f t="shared" si="1"/>
        <v>328.38</v>
      </c>
      <c r="D17">
        <f>Tabel1[[#This Row],['# tom green]]+Tabel1[[#This Row],['#tom coloured]]+Tabel1[[#This Row],['#tom red]]</f>
        <v>54</v>
      </c>
      <c r="E17" s="2">
        <v>47</v>
      </c>
      <c r="F17" s="2">
        <v>265.02</v>
      </c>
      <c r="G17" s="2">
        <v>7</v>
      </c>
      <c r="H17" s="2">
        <v>63.36</v>
      </c>
      <c r="I17" s="2"/>
      <c r="J17" s="2"/>
      <c r="K17" s="8"/>
      <c r="L17" s="10"/>
      <c r="M17" s="17"/>
      <c r="O17" s="74">
        <f>(Tabel1[[#This Row],[FW red]]/(Tabel1[[#This Row],[fw green]]+Tabel1[[#This Row],[Fw coloured]]+Tabel1[[#This Row],[FW red]]))*100</f>
        <v>0</v>
      </c>
      <c r="P17" s="8"/>
    </row>
    <row r="18" spans="1:16" x14ac:dyDescent="0.2">
      <c r="A18" s="2">
        <v>303</v>
      </c>
      <c r="B18" s="4" t="s">
        <v>17</v>
      </c>
      <c r="C18" s="4">
        <f t="shared" si="1"/>
        <v>226.69</v>
      </c>
      <c r="D18">
        <f>Tabel1[[#This Row],['# tom green]]+Tabel1[[#This Row],['#tom coloured]]+Tabel1[[#This Row],['#tom red]]</f>
        <v>39</v>
      </c>
      <c r="E18" s="2">
        <v>21</v>
      </c>
      <c r="F18" s="2">
        <v>101.09</v>
      </c>
      <c r="G18" s="2">
        <v>14</v>
      </c>
      <c r="H18" s="2">
        <v>92.44</v>
      </c>
      <c r="I18" s="2">
        <v>4</v>
      </c>
      <c r="J18" s="2">
        <v>33.159999999999997</v>
      </c>
      <c r="K18" s="8"/>
      <c r="L18" s="10"/>
      <c r="M18" s="17"/>
      <c r="O18" s="74">
        <f>(Tabel1[[#This Row],[FW red]]/(Tabel1[[#This Row],[fw green]]+Tabel1[[#This Row],[Fw coloured]]+Tabel1[[#This Row],[FW red]]))*100</f>
        <v>14.627905950857997</v>
      </c>
      <c r="P18" s="8"/>
    </row>
    <row r="19" spans="1:16" x14ac:dyDescent="0.2">
      <c r="A19" s="2">
        <v>303</v>
      </c>
      <c r="B19" s="4" t="s">
        <v>18</v>
      </c>
      <c r="C19" s="4">
        <f t="shared" si="1"/>
        <v>290.92</v>
      </c>
      <c r="D19">
        <f>Tabel1[[#This Row],['# tom green]]+Tabel1[[#This Row],['#tom coloured]]+Tabel1[[#This Row],['#tom red]]</f>
        <v>53</v>
      </c>
      <c r="E19" s="2">
        <v>34</v>
      </c>
      <c r="F19" s="2">
        <v>159.31</v>
      </c>
      <c r="G19" s="2">
        <v>11</v>
      </c>
      <c r="H19" s="2">
        <v>68.430000000000007</v>
      </c>
      <c r="I19" s="2">
        <v>8</v>
      </c>
      <c r="J19" s="2">
        <v>63.18</v>
      </c>
      <c r="K19" s="8"/>
      <c r="L19" s="10"/>
      <c r="M19" s="17"/>
      <c r="O19" s="74">
        <f>(Tabel1[[#This Row],[FW red]]/(Tabel1[[#This Row],[fw green]]+Tabel1[[#This Row],[Fw coloured]]+Tabel1[[#This Row],[FW red]]))*100</f>
        <v>21.717310600852464</v>
      </c>
      <c r="P19" s="8"/>
    </row>
    <row r="20" spans="1:16" x14ac:dyDescent="0.2">
      <c r="A20" s="2">
        <v>303</v>
      </c>
      <c r="B20" s="4" t="s">
        <v>19</v>
      </c>
      <c r="C20" s="4">
        <f t="shared" si="1"/>
        <v>367.71000000000004</v>
      </c>
      <c r="D20">
        <f>Tabel1[[#This Row],['# tom green]]+Tabel1[[#This Row],['#tom coloured]]+Tabel1[[#This Row],['#tom red]]</f>
        <v>56</v>
      </c>
      <c r="E20" s="2">
        <v>34</v>
      </c>
      <c r="F20" s="2">
        <v>197.93</v>
      </c>
      <c r="G20" s="2">
        <v>8</v>
      </c>
      <c r="H20" s="2">
        <v>55.56</v>
      </c>
      <c r="I20" s="2">
        <v>14</v>
      </c>
      <c r="J20" s="2">
        <v>114.22</v>
      </c>
      <c r="K20" s="8">
        <v>1</v>
      </c>
      <c r="L20" s="10"/>
      <c r="M20" s="17"/>
      <c r="O20" s="74">
        <f>(Tabel1[[#This Row],[FW red]]/(Tabel1[[#This Row],[fw green]]+Tabel1[[#This Row],[Fw coloured]]+Tabel1[[#This Row],[FW red]]))*100</f>
        <v>31.062522096217126</v>
      </c>
      <c r="P20" s="8"/>
    </row>
    <row r="21" spans="1:16" ht="16" thickBot="1" x14ac:dyDescent="0.25">
      <c r="A21" s="2">
        <v>303</v>
      </c>
      <c r="B21" s="4" t="s">
        <v>20</v>
      </c>
      <c r="C21" s="4">
        <f t="shared" si="1"/>
        <v>374.02</v>
      </c>
      <c r="D21">
        <f>Tabel1[[#This Row],['# tom green]]+Tabel1[[#This Row],['#tom coloured]]+Tabel1[[#This Row],['#tom red]]</f>
        <v>56</v>
      </c>
      <c r="E21" s="3">
        <v>30</v>
      </c>
      <c r="F21" s="3">
        <v>165.95</v>
      </c>
      <c r="G21" s="3">
        <v>15</v>
      </c>
      <c r="H21" s="3">
        <v>101.36</v>
      </c>
      <c r="I21" s="3">
        <v>11</v>
      </c>
      <c r="J21" s="3">
        <v>106.71</v>
      </c>
      <c r="K21" s="8"/>
      <c r="L21" s="11"/>
      <c r="M21" s="17"/>
      <c r="O21" s="74">
        <f>(Tabel1[[#This Row],[FW red]]/(Tabel1[[#This Row],[fw green]]+Tabel1[[#This Row],[Fw coloured]]+Tabel1[[#This Row],[FW red]]))*100</f>
        <v>28.530559863108923</v>
      </c>
      <c r="P21" s="8" t="s">
        <v>336</v>
      </c>
    </row>
    <row r="22" spans="1:16" ht="16" thickBot="1" x14ac:dyDescent="0.25">
      <c r="A22" s="8"/>
      <c r="B22" s="5">
        <v>303</v>
      </c>
      <c r="C22" s="6">
        <f>AVERAGE(C16:C21)</f>
        <v>314.44666666666666</v>
      </c>
      <c r="D22" s="42">
        <f>Tabel1[[#This Row],['# tom green]]+Tabel1[[#This Row],['#tom coloured]]+Tabel1[[#This Row],['#tom red]]</f>
        <v>51.8</v>
      </c>
      <c r="E22" s="16">
        <f t="shared" ref="E22:J22" si="3">AVERAGE(E16:E21)</f>
        <v>31.666666666666668</v>
      </c>
      <c r="F22" s="6">
        <f t="shared" si="3"/>
        <v>170.83</v>
      </c>
      <c r="G22" s="16">
        <f t="shared" si="3"/>
        <v>10.333333333333334</v>
      </c>
      <c r="H22" s="6">
        <f t="shared" si="3"/>
        <v>73.14</v>
      </c>
      <c r="I22" s="15">
        <f t="shared" si="3"/>
        <v>9.8000000000000007</v>
      </c>
      <c r="J22" s="6">
        <f t="shared" si="3"/>
        <v>84.571999999999989</v>
      </c>
      <c r="K22" s="30"/>
      <c r="L22" s="14">
        <f>_xlfn.STDEV.S(C16:C21)/(SQRT(COUNT(C16:C21)))</f>
        <v>22.416270826740522</v>
      </c>
      <c r="M22" s="6">
        <f>_xlfn.STDEV.S(D16:D21)/(SQRT(COUNT(D16:D21)))</f>
        <v>2.9823555194584812</v>
      </c>
      <c r="N22" s="73">
        <f>_xlfn.STDEV.S(J16:J21)/(SQRT(COUNT(J16:J21)))</f>
        <v>15.671092303984441</v>
      </c>
      <c r="O22" s="76">
        <f>(Tabel1[[#This Row],[FW red]]/(Tabel1[[#This Row],[fw green]]+Tabel1[[#This Row],[Fw coloured]]+Tabel1[[#This Row],[FW red]]))*100</f>
        <v>25.741609900712842</v>
      </c>
      <c r="P22" s="2"/>
    </row>
    <row r="23" spans="1:16" x14ac:dyDescent="0.2">
      <c r="A23" s="2">
        <v>306</v>
      </c>
      <c r="B23" s="4" t="s">
        <v>21</v>
      </c>
      <c r="C23" s="4">
        <f t="shared" si="1"/>
        <v>337.15</v>
      </c>
      <c r="D23">
        <f>Tabel1[[#This Row],['# tom green]]+Tabel1[[#This Row],['#tom coloured]]+Tabel1[[#This Row],['#tom red]]</f>
        <v>61</v>
      </c>
      <c r="E23" s="4">
        <v>27</v>
      </c>
      <c r="F23" s="4">
        <v>118.01</v>
      </c>
      <c r="G23" s="4">
        <v>24</v>
      </c>
      <c r="H23" s="2">
        <v>140.93</v>
      </c>
      <c r="I23" s="2">
        <v>10</v>
      </c>
      <c r="J23" s="2">
        <v>78.209999999999994</v>
      </c>
      <c r="K23" s="8"/>
      <c r="L23" s="12"/>
      <c r="M23" s="17"/>
      <c r="O23" s="74">
        <f>(Tabel1[[#This Row],[FW red]]/(Tabel1[[#This Row],[fw green]]+Tabel1[[#This Row],[Fw coloured]]+Tabel1[[#This Row],[FW red]]))*100</f>
        <v>23.197389885807503</v>
      </c>
      <c r="P23" s="8"/>
    </row>
    <row r="24" spans="1:16" x14ac:dyDescent="0.2">
      <c r="A24" s="2">
        <v>306</v>
      </c>
      <c r="B24" s="4" t="s">
        <v>22</v>
      </c>
      <c r="C24" s="4">
        <f t="shared" si="1"/>
        <v>192.91000000000003</v>
      </c>
      <c r="D24">
        <f>Tabel1[[#This Row],['# tom green]]+Tabel1[[#This Row],['#tom coloured]]+Tabel1[[#This Row],['#tom red]]</f>
        <v>37</v>
      </c>
      <c r="E24" s="2">
        <v>25</v>
      </c>
      <c r="F24" s="2">
        <v>111.73</v>
      </c>
      <c r="G24" s="2">
        <v>12</v>
      </c>
      <c r="H24" s="2">
        <v>81.180000000000007</v>
      </c>
      <c r="I24" s="2"/>
      <c r="J24" s="2"/>
      <c r="K24" s="8"/>
      <c r="L24" s="10"/>
      <c r="M24" s="17"/>
      <c r="O24" s="74">
        <f>(Tabel1[[#This Row],[FW red]]/(Tabel1[[#This Row],[fw green]]+Tabel1[[#This Row],[Fw coloured]]+Tabel1[[#This Row],[FW red]]))*100</f>
        <v>0</v>
      </c>
      <c r="P24" s="8"/>
    </row>
    <row r="25" spans="1:16" x14ac:dyDescent="0.2">
      <c r="A25" s="2">
        <v>306</v>
      </c>
      <c r="B25" s="4" t="s">
        <v>23</v>
      </c>
      <c r="C25" s="4">
        <f t="shared" si="1"/>
        <v>339.15</v>
      </c>
      <c r="D25">
        <f>Tabel1[[#This Row],['# tom green]]+Tabel1[[#This Row],['#tom coloured]]+Tabel1[[#This Row],['#tom red]]</f>
        <v>49</v>
      </c>
      <c r="E25" s="2">
        <v>16</v>
      </c>
      <c r="F25" s="2">
        <v>87.49</v>
      </c>
      <c r="G25" s="2">
        <v>25</v>
      </c>
      <c r="H25" s="2">
        <v>184.35</v>
      </c>
      <c r="I25" s="2">
        <v>8</v>
      </c>
      <c r="J25" s="2">
        <v>67.31</v>
      </c>
      <c r="K25" s="8"/>
      <c r="L25" s="10"/>
      <c r="M25" s="17"/>
      <c r="O25" s="74">
        <f>(Tabel1[[#This Row],[FW red]]/(Tabel1[[#This Row],[fw green]]+Tabel1[[#This Row],[Fw coloured]]+Tabel1[[#This Row],[FW red]]))*100</f>
        <v>19.846675512310188</v>
      </c>
      <c r="P25" s="8" t="s">
        <v>337</v>
      </c>
    </row>
    <row r="26" spans="1:16" x14ac:dyDescent="0.2">
      <c r="A26" s="2">
        <v>306</v>
      </c>
      <c r="B26" s="4" t="s">
        <v>24</v>
      </c>
      <c r="C26" s="4">
        <f t="shared" si="1"/>
        <v>490.38000000000005</v>
      </c>
      <c r="D26">
        <f>Tabel1[[#This Row],['# tom green]]+Tabel1[[#This Row],['#tom coloured]]+Tabel1[[#This Row],['#tom red]]</f>
        <v>70</v>
      </c>
      <c r="E26" s="2">
        <v>36</v>
      </c>
      <c r="F26" s="2">
        <v>196.86</v>
      </c>
      <c r="G26" s="2">
        <v>23</v>
      </c>
      <c r="H26" s="2">
        <v>179.35</v>
      </c>
      <c r="I26" s="2">
        <v>11</v>
      </c>
      <c r="J26" s="2">
        <v>114.17</v>
      </c>
      <c r="K26" s="8"/>
      <c r="L26" s="10"/>
      <c r="M26" s="17"/>
      <c r="O26" s="74">
        <f>(Tabel1[[#This Row],[FW red]]/(Tabel1[[#This Row],[fw green]]+Tabel1[[#This Row],[Fw coloured]]+Tabel1[[#This Row],[FW red]]))*100</f>
        <v>23.281944614380681</v>
      </c>
      <c r="P26" s="8"/>
    </row>
    <row r="27" spans="1:16" x14ac:dyDescent="0.2">
      <c r="A27" s="2">
        <v>306</v>
      </c>
      <c r="B27" s="4" t="s">
        <v>25</v>
      </c>
      <c r="C27" s="4">
        <f t="shared" si="1"/>
        <v>300.91000000000003</v>
      </c>
      <c r="D27">
        <f>Tabel1[[#This Row],['# tom green]]+Tabel1[[#This Row],['#tom coloured]]+Tabel1[[#This Row],['#tom red]]</f>
        <v>42</v>
      </c>
      <c r="E27" s="2">
        <v>16</v>
      </c>
      <c r="F27" s="2">
        <v>85.98</v>
      </c>
      <c r="G27" s="2">
        <v>19</v>
      </c>
      <c r="H27" s="2">
        <v>147.75</v>
      </c>
      <c r="I27" s="2">
        <v>7</v>
      </c>
      <c r="J27" s="2">
        <v>67.180000000000007</v>
      </c>
      <c r="K27" s="8"/>
      <c r="L27" s="10"/>
      <c r="M27" s="17"/>
      <c r="O27" s="74">
        <f>(Tabel1[[#This Row],[FW red]]/(Tabel1[[#This Row],[fw green]]+Tabel1[[#This Row],[Fw coloured]]+Tabel1[[#This Row],[FW red]]))*100</f>
        <v>22.32561230932837</v>
      </c>
      <c r="P27" s="8"/>
    </row>
    <row r="28" spans="1:16" ht="16" thickBot="1" x14ac:dyDescent="0.25">
      <c r="A28" s="2">
        <v>306</v>
      </c>
      <c r="B28" s="4" t="s">
        <v>26</v>
      </c>
      <c r="C28" s="4">
        <f t="shared" si="1"/>
        <v>418.24</v>
      </c>
      <c r="D28">
        <f>Tabel1[[#This Row],['# tom green]]+Tabel1[[#This Row],['#tom coloured]]+Tabel1[[#This Row],['#tom red]]</f>
        <v>62</v>
      </c>
      <c r="E28" s="3">
        <v>27</v>
      </c>
      <c r="F28" s="3">
        <v>150.37</v>
      </c>
      <c r="G28" s="3">
        <v>24</v>
      </c>
      <c r="H28" s="3">
        <v>166.31</v>
      </c>
      <c r="I28" s="3">
        <v>11</v>
      </c>
      <c r="J28" s="3">
        <v>101.56</v>
      </c>
      <c r="K28" s="8"/>
      <c r="L28" s="11"/>
      <c r="M28" s="17"/>
      <c r="O28" s="74">
        <f>(Tabel1[[#This Row],[FW red]]/(Tabel1[[#This Row],[fw green]]+Tabel1[[#This Row],[Fw coloured]]+Tabel1[[#This Row],[FW red]]))*100</f>
        <v>24.282708492731448</v>
      </c>
      <c r="P28" s="8"/>
    </row>
    <row r="29" spans="1:16" ht="16" thickBot="1" x14ac:dyDescent="0.25">
      <c r="A29" s="8"/>
      <c r="B29" s="5">
        <v>306</v>
      </c>
      <c r="C29" s="6">
        <f>AVERAGE(C23:C28)</f>
        <v>346.45666666666665</v>
      </c>
      <c r="D29" s="42">
        <f>Tabel1[[#This Row],['# tom green]]+Tabel1[[#This Row],['#tom coloured]]+Tabel1[[#This Row],['#tom red]]</f>
        <v>55.06666666666667</v>
      </c>
      <c r="E29" s="16">
        <f t="shared" ref="E29:J29" si="4">AVERAGE(E23:E28)</f>
        <v>24.5</v>
      </c>
      <c r="F29" s="6">
        <f t="shared" si="4"/>
        <v>125.07333333333334</v>
      </c>
      <c r="G29" s="16">
        <f t="shared" si="4"/>
        <v>21.166666666666668</v>
      </c>
      <c r="H29" s="6">
        <f t="shared" si="4"/>
        <v>149.97833333333335</v>
      </c>
      <c r="I29" s="15">
        <f t="shared" si="4"/>
        <v>9.4</v>
      </c>
      <c r="J29" s="6">
        <f t="shared" si="4"/>
        <v>85.686000000000007</v>
      </c>
      <c r="K29" s="30"/>
      <c r="L29" s="14">
        <f>_xlfn.STDEV.S(C23:C28)/(SQRT(COUNT(C23:C28)))</f>
        <v>41.496125093528789</v>
      </c>
      <c r="M29" s="6">
        <f>_xlfn.STDEV.S(G23:G28)/(SQRT(COUNT(G23:G28)))</f>
        <v>2.0234733614368268</v>
      </c>
      <c r="N29" s="73">
        <f>_xlfn.STDEV.S(J23:J28)/(SQRT(COUNT(J23:J28)))</f>
        <v>9.4851518701600277</v>
      </c>
      <c r="O29" s="76">
        <f>(Tabel1[[#This Row],[FW red]]/(Tabel1[[#This Row],[fw green]]+Tabel1[[#This Row],[Fw coloured]]+Tabel1[[#This Row],[FW red]]))*100</f>
        <v>23.752995020388781</v>
      </c>
      <c r="P29" s="2"/>
    </row>
    <row r="30" spans="1:16" x14ac:dyDescent="0.2">
      <c r="A30" s="2">
        <v>307</v>
      </c>
      <c r="B30" s="4" t="s">
        <v>27</v>
      </c>
      <c r="C30" s="4">
        <f t="shared" si="1"/>
        <v>317.94</v>
      </c>
      <c r="D30">
        <f>Tabel1[[#This Row],['# tom green]]+Tabel1[[#This Row],['#tom coloured]]+Tabel1[[#This Row],['#tom red]]</f>
        <v>48</v>
      </c>
      <c r="E30" s="4">
        <v>11</v>
      </c>
      <c r="F30" s="4">
        <v>46.1</v>
      </c>
      <c r="G30" s="4">
        <v>20</v>
      </c>
      <c r="H30" s="2">
        <v>132.22999999999999</v>
      </c>
      <c r="I30" s="2">
        <v>17</v>
      </c>
      <c r="J30" s="2">
        <v>139.61000000000001</v>
      </c>
      <c r="K30" s="8">
        <v>2</v>
      </c>
      <c r="L30" s="12"/>
      <c r="M30" s="17"/>
      <c r="O30" s="74">
        <f>(Tabel1[[#This Row],[FW red]]/(Tabel1[[#This Row],[fw green]]+Tabel1[[#This Row],[Fw coloured]]+Tabel1[[#This Row],[FW red]]))*100</f>
        <v>43.91080078002139</v>
      </c>
      <c r="P30" s="8"/>
    </row>
    <row r="31" spans="1:16" x14ac:dyDescent="0.2">
      <c r="A31" s="2">
        <v>307</v>
      </c>
      <c r="B31" s="4" t="s">
        <v>28</v>
      </c>
      <c r="C31" s="4">
        <f t="shared" si="1"/>
        <v>221.33</v>
      </c>
      <c r="D31">
        <f>Tabel1[[#This Row],['# tom green]]+Tabel1[[#This Row],['#tom coloured]]+Tabel1[[#This Row],['#tom red]]</f>
        <v>36</v>
      </c>
      <c r="E31" s="2">
        <v>6</v>
      </c>
      <c r="F31" s="2">
        <v>25.18</v>
      </c>
      <c r="G31" s="2">
        <v>9</v>
      </c>
      <c r="H31" s="2">
        <v>50.34</v>
      </c>
      <c r="I31" s="2">
        <v>21</v>
      </c>
      <c r="J31" s="2">
        <v>145.81</v>
      </c>
      <c r="K31" s="8">
        <v>4</v>
      </c>
      <c r="L31" s="10"/>
      <c r="M31" s="17"/>
      <c r="O31" s="74">
        <f>(Tabel1[[#This Row],[FW red]]/(Tabel1[[#This Row],[fw green]]+Tabel1[[#This Row],[Fw coloured]]+Tabel1[[#This Row],[FW red]]))*100</f>
        <v>65.879004201870501</v>
      </c>
      <c r="P31" s="8"/>
    </row>
    <row r="32" spans="1:16" x14ac:dyDescent="0.2">
      <c r="A32" s="2">
        <v>307</v>
      </c>
      <c r="B32" s="4" t="s">
        <v>29</v>
      </c>
      <c r="C32" s="4">
        <f t="shared" si="1"/>
        <v>285.37</v>
      </c>
      <c r="D32">
        <f>Tabel1[[#This Row],['# tom green]]+Tabel1[[#This Row],['#tom coloured]]+Tabel1[[#This Row],['#tom red]]</f>
        <v>49</v>
      </c>
      <c r="E32" s="2">
        <v>13</v>
      </c>
      <c r="F32" s="2">
        <v>29.29</v>
      </c>
      <c r="G32" s="2">
        <v>15</v>
      </c>
      <c r="H32" s="2">
        <v>89.57</v>
      </c>
      <c r="I32" s="2">
        <v>21</v>
      </c>
      <c r="J32" s="2">
        <v>166.51</v>
      </c>
      <c r="K32" s="8">
        <v>3</v>
      </c>
      <c r="L32" s="10"/>
      <c r="M32" s="17"/>
      <c r="O32" s="74">
        <f>(Tabel1[[#This Row],[FW red]]/(Tabel1[[#This Row],[fw green]]+Tabel1[[#This Row],[Fw coloured]]+Tabel1[[#This Row],[FW red]]))*100</f>
        <v>58.348810316431297</v>
      </c>
      <c r="P32" s="8"/>
    </row>
    <row r="33" spans="1:16" x14ac:dyDescent="0.2">
      <c r="A33" s="2">
        <v>307</v>
      </c>
      <c r="B33" s="4" t="s">
        <v>30</v>
      </c>
      <c r="C33" s="4">
        <f t="shared" si="1"/>
        <v>349.14</v>
      </c>
      <c r="D33">
        <f>Tabel1[[#This Row],['# tom green]]+Tabel1[[#This Row],['#tom coloured]]+Tabel1[[#This Row],['#tom red]]</f>
        <v>54</v>
      </c>
      <c r="E33" s="2">
        <v>24</v>
      </c>
      <c r="F33" s="2">
        <v>129.30000000000001</v>
      </c>
      <c r="G33" s="2">
        <v>17</v>
      </c>
      <c r="H33" s="2">
        <v>124.4</v>
      </c>
      <c r="I33" s="2">
        <v>13</v>
      </c>
      <c r="J33" s="2">
        <v>95.44</v>
      </c>
      <c r="K33" s="8">
        <v>2</v>
      </c>
      <c r="L33" s="10"/>
      <c r="M33" s="17"/>
      <c r="O33" s="74">
        <f>(Tabel1[[#This Row],[FW red]]/(Tabel1[[#This Row],[fw green]]+Tabel1[[#This Row],[Fw coloured]]+Tabel1[[#This Row],[FW red]]))*100</f>
        <v>27.335739245002006</v>
      </c>
      <c r="P33" s="8"/>
    </row>
    <row r="34" spans="1:16" x14ac:dyDescent="0.2">
      <c r="A34" s="2">
        <v>307</v>
      </c>
      <c r="B34" s="4" t="s">
        <v>31</v>
      </c>
      <c r="C34" s="4">
        <f t="shared" si="1"/>
        <v>284.01</v>
      </c>
      <c r="D34">
        <f>Tabel1[[#This Row],['# tom green]]+Tabel1[[#This Row],['#tom coloured]]+Tabel1[[#This Row],['#tom red]]</f>
        <v>44</v>
      </c>
      <c r="E34" s="2">
        <v>23</v>
      </c>
      <c r="F34" s="2">
        <v>114.41</v>
      </c>
      <c r="G34" s="2">
        <v>16</v>
      </c>
      <c r="H34" s="2">
        <v>122.75</v>
      </c>
      <c r="I34" s="2">
        <v>5</v>
      </c>
      <c r="J34" s="2">
        <v>46.85</v>
      </c>
      <c r="K34" s="8"/>
      <c r="L34" s="10"/>
      <c r="M34" s="17"/>
      <c r="O34" s="74">
        <f>(Tabel1[[#This Row],[FW red]]/(Tabel1[[#This Row],[fw green]]+Tabel1[[#This Row],[Fw coloured]]+Tabel1[[#This Row],[FW red]]))*100</f>
        <v>16.495898031759445</v>
      </c>
      <c r="P34" s="8"/>
    </row>
    <row r="35" spans="1:16" ht="16" thickBot="1" x14ac:dyDescent="0.25">
      <c r="A35" s="2">
        <v>307</v>
      </c>
      <c r="B35" s="4" t="s">
        <v>32</v>
      </c>
      <c r="C35" s="4">
        <f t="shared" si="1"/>
        <v>267.46999999999997</v>
      </c>
      <c r="D35">
        <f>Tabel1[[#This Row],['# tom green]]+Tabel1[[#This Row],['#tom coloured]]+Tabel1[[#This Row],['#tom red]]</f>
        <v>53</v>
      </c>
      <c r="E35" s="3">
        <v>23</v>
      </c>
      <c r="F35" s="3">
        <v>73.66</v>
      </c>
      <c r="G35" s="3">
        <v>19</v>
      </c>
      <c r="H35" s="3">
        <v>115.74</v>
      </c>
      <c r="I35" s="3">
        <v>11</v>
      </c>
      <c r="J35" s="3">
        <v>78.069999999999993</v>
      </c>
      <c r="K35" s="8">
        <v>3</v>
      </c>
      <c r="L35" s="11"/>
      <c r="M35" s="17"/>
      <c r="O35" s="74">
        <f>(Tabel1[[#This Row],[FW red]]/(Tabel1[[#This Row],[fw green]]+Tabel1[[#This Row],[Fw coloured]]+Tabel1[[#This Row],[FW red]]))*100</f>
        <v>29.188320185441359</v>
      </c>
      <c r="P35" s="8"/>
    </row>
    <row r="36" spans="1:16" ht="16" thickBot="1" x14ac:dyDescent="0.25">
      <c r="A36" s="8"/>
      <c r="B36" s="5">
        <v>307</v>
      </c>
      <c r="C36" s="6">
        <f>AVERAGE(C30:C35)</f>
        <v>287.54333333333335</v>
      </c>
      <c r="D36" s="42">
        <f>Tabel1[[#This Row],['# tom green]]+Tabel1[[#This Row],['#tom coloured]]+Tabel1[[#This Row],['#tom red]]</f>
        <v>47.333333333333336</v>
      </c>
      <c r="E36" s="16">
        <f t="shared" ref="E36:J36" si="5">AVERAGE(E30:E35)</f>
        <v>16.666666666666668</v>
      </c>
      <c r="F36" s="6">
        <f t="shared" si="5"/>
        <v>69.656666666666652</v>
      </c>
      <c r="G36" s="16">
        <f t="shared" si="5"/>
        <v>16</v>
      </c>
      <c r="H36" s="6">
        <f t="shared" si="5"/>
        <v>105.83833333333332</v>
      </c>
      <c r="I36" s="15">
        <f t="shared" si="5"/>
        <v>14.666666666666666</v>
      </c>
      <c r="J36" s="6">
        <f t="shared" si="5"/>
        <v>112.04833333333333</v>
      </c>
      <c r="K36" s="30"/>
      <c r="L36" s="14">
        <f>_xlfn.STDEV.S(C30:C35)/(SQRT(COUNT(C30:C35)))</f>
        <v>17.816152533897693</v>
      </c>
      <c r="M36" s="6">
        <f>_xlfn.STDEV.S(G30:G35)/(SQRT(COUNT(G30:G35)))</f>
        <v>1.5916448515084429</v>
      </c>
      <c r="N36" s="73">
        <f>_xlfn.STDEV.S(J30:J35)/(SQRT(COUNT(J30:J35)))</f>
        <v>18.749893584883218</v>
      </c>
      <c r="O36" s="76">
        <f>(Tabel1[[#This Row],[FW red]]/(Tabel1[[#This Row],[fw green]]+Tabel1[[#This Row],[Fw coloured]]+Tabel1[[#This Row],[FW red]]))*100</f>
        <v>38.967459977046943</v>
      </c>
      <c r="P36" s="2"/>
    </row>
    <row r="37" spans="1:16" x14ac:dyDescent="0.2">
      <c r="A37" s="2">
        <v>308</v>
      </c>
      <c r="B37" s="4" t="s">
        <v>33</v>
      </c>
      <c r="C37" s="4">
        <f t="shared" ref="C37:C42" si="6">SUM(F37,H37,J37)</f>
        <v>326.86999999999995</v>
      </c>
      <c r="D37">
        <f>Tabel1[[#This Row],['# tom green]]+Tabel1[[#This Row],['#tom coloured]]+Tabel1[[#This Row],['#tom red]]</f>
        <v>44</v>
      </c>
      <c r="E37" s="4">
        <v>22</v>
      </c>
      <c r="F37" s="4">
        <v>133.69</v>
      </c>
      <c r="G37" s="4">
        <v>17</v>
      </c>
      <c r="H37" s="2">
        <v>137.85</v>
      </c>
      <c r="I37" s="2">
        <v>5</v>
      </c>
      <c r="J37" s="2">
        <v>55.33</v>
      </c>
      <c r="K37" s="8"/>
      <c r="L37" s="12"/>
      <c r="M37" s="17"/>
      <c r="O37" s="74">
        <f>(Tabel1[[#This Row],[FW red]]/(Tabel1[[#This Row],[fw green]]+Tabel1[[#This Row],[Fw coloured]]+Tabel1[[#This Row],[FW red]]))*100</f>
        <v>16.927218771988866</v>
      </c>
      <c r="P37" s="8"/>
    </row>
    <row r="38" spans="1:16" x14ac:dyDescent="0.2">
      <c r="A38" s="2">
        <v>308</v>
      </c>
      <c r="B38" s="4" t="s">
        <v>34</v>
      </c>
      <c r="C38" s="4">
        <f t="shared" si="6"/>
        <v>405.15</v>
      </c>
      <c r="D38">
        <f>Tabel1[[#This Row],['# tom green]]+Tabel1[[#This Row],['#tom coloured]]+Tabel1[[#This Row],['#tom red]]</f>
        <v>52</v>
      </c>
      <c r="E38" s="2">
        <v>24</v>
      </c>
      <c r="F38" s="2">
        <v>136.44</v>
      </c>
      <c r="G38" s="2">
        <v>21</v>
      </c>
      <c r="H38" s="2">
        <v>188.61</v>
      </c>
      <c r="I38" s="2">
        <v>7</v>
      </c>
      <c r="J38" s="2">
        <v>80.099999999999994</v>
      </c>
      <c r="K38" s="8"/>
      <c r="L38" s="10"/>
      <c r="M38" s="17"/>
      <c r="O38" s="74">
        <f>(Tabel1[[#This Row],[FW red]]/(Tabel1[[#This Row],[fw green]]+Tabel1[[#This Row],[Fw coloured]]+Tabel1[[#This Row],[FW red]]))*100</f>
        <v>19.770455386893744</v>
      </c>
      <c r="P38" s="8" t="s">
        <v>336</v>
      </c>
    </row>
    <row r="39" spans="1:16" x14ac:dyDescent="0.2">
      <c r="A39" s="2">
        <v>308</v>
      </c>
      <c r="B39" s="4" t="s">
        <v>35</v>
      </c>
      <c r="C39" s="4">
        <f t="shared" si="6"/>
        <v>433.86000000000007</v>
      </c>
      <c r="D39">
        <f>Tabel1[[#This Row],['# tom green]]+Tabel1[[#This Row],['#tom coloured]]+Tabel1[[#This Row],['#tom red]]</f>
        <v>62</v>
      </c>
      <c r="E39" s="2">
        <v>33</v>
      </c>
      <c r="F39" s="2">
        <v>183.33</v>
      </c>
      <c r="G39" s="2">
        <v>19</v>
      </c>
      <c r="H39" s="2">
        <v>155.24</v>
      </c>
      <c r="I39" s="2">
        <v>10</v>
      </c>
      <c r="J39" s="2">
        <v>95.29</v>
      </c>
      <c r="K39" s="8"/>
      <c r="L39" s="10"/>
      <c r="M39" s="17"/>
      <c r="O39" s="74">
        <f>(Tabel1[[#This Row],[FW red]]/(Tabel1[[#This Row],[fw green]]+Tabel1[[#This Row],[Fw coloured]]+Tabel1[[#This Row],[FW red]]))*100</f>
        <v>21.963306135619785</v>
      </c>
      <c r="P39" s="8" t="s">
        <v>336</v>
      </c>
    </row>
    <row r="40" spans="1:16" x14ac:dyDescent="0.2">
      <c r="A40" s="2">
        <v>308</v>
      </c>
      <c r="B40" s="4" t="s">
        <v>36</v>
      </c>
      <c r="C40" s="4">
        <f t="shared" si="6"/>
        <v>324.11</v>
      </c>
      <c r="D40">
        <f>Tabel1[[#This Row],['# tom green]]+Tabel1[[#This Row],['#tom coloured]]+Tabel1[[#This Row],['#tom red]]</f>
        <v>53</v>
      </c>
      <c r="E40" s="2">
        <v>36</v>
      </c>
      <c r="F40" s="2">
        <v>187.66</v>
      </c>
      <c r="G40" s="2">
        <v>17</v>
      </c>
      <c r="H40" s="2">
        <v>136.44999999999999</v>
      </c>
      <c r="I40" s="2"/>
      <c r="J40" s="2"/>
      <c r="K40" s="8"/>
      <c r="L40" s="10"/>
      <c r="M40" s="17"/>
      <c r="O40" s="74">
        <f>(Tabel1[[#This Row],[FW red]]/(Tabel1[[#This Row],[fw green]]+Tabel1[[#This Row],[Fw coloured]]+Tabel1[[#This Row],[FW red]]))*100</f>
        <v>0</v>
      </c>
      <c r="P40" s="8"/>
    </row>
    <row r="41" spans="1:16" x14ac:dyDescent="0.2">
      <c r="A41" s="2">
        <v>308</v>
      </c>
      <c r="B41" s="4" t="s">
        <v>37</v>
      </c>
      <c r="C41" s="4">
        <f t="shared" si="6"/>
        <v>313.59999999999997</v>
      </c>
      <c r="D41">
        <f>Tabel1[[#This Row],['# tom green]]+Tabel1[[#This Row],['#tom coloured]]+Tabel1[[#This Row],['#tom red]]</f>
        <v>50</v>
      </c>
      <c r="E41" s="2">
        <v>46</v>
      </c>
      <c r="F41" s="2">
        <v>273.52</v>
      </c>
      <c r="G41" s="2">
        <v>4</v>
      </c>
      <c r="H41" s="2">
        <v>40.08</v>
      </c>
      <c r="I41" s="2"/>
      <c r="J41" s="2"/>
      <c r="K41" s="8"/>
      <c r="L41" s="10"/>
      <c r="M41" s="17"/>
      <c r="O41" s="74">
        <f>(Tabel1[[#This Row],[FW red]]/(Tabel1[[#This Row],[fw green]]+Tabel1[[#This Row],[Fw coloured]]+Tabel1[[#This Row],[FW red]]))*100</f>
        <v>0</v>
      </c>
      <c r="P41" s="8"/>
    </row>
    <row r="42" spans="1:16" ht="16" thickBot="1" x14ac:dyDescent="0.25">
      <c r="A42" s="2">
        <v>308</v>
      </c>
      <c r="B42" s="4" t="s">
        <v>38</v>
      </c>
      <c r="C42" s="4">
        <f t="shared" si="6"/>
        <v>219.4</v>
      </c>
      <c r="D42">
        <f>Tabel1[[#This Row],['# tom green]]+Tabel1[[#This Row],['#tom coloured]]+Tabel1[[#This Row],['#tom red]]</f>
        <v>46</v>
      </c>
      <c r="E42" s="3">
        <v>30</v>
      </c>
      <c r="F42" s="3">
        <v>113.86</v>
      </c>
      <c r="G42" s="3">
        <v>16</v>
      </c>
      <c r="H42" s="3">
        <v>105.54</v>
      </c>
      <c r="I42" s="3"/>
      <c r="J42" s="3"/>
      <c r="K42" s="8"/>
      <c r="L42" s="11"/>
      <c r="M42" s="17"/>
      <c r="O42" s="74">
        <f>(Tabel1[[#This Row],[FW red]]/(Tabel1[[#This Row],[fw green]]+Tabel1[[#This Row],[Fw coloured]]+Tabel1[[#This Row],[FW red]]))*100</f>
        <v>0</v>
      </c>
      <c r="P42" s="8"/>
    </row>
    <row r="43" spans="1:16" ht="16" thickBot="1" x14ac:dyDescent="0.25">
      <c r="A43" s="8"/>
      <c r="B43" s="25">
        <v>308</v>
      </c>
      <c r="C43" s="26">
        <f>AVERAGE(C37:C42)</f>
        <v>337.16500000000002</v>
      </c>
      <c r="D43">
        <f>Tabel1[[#This Row],['# tom green]]+Tabel1[[#This Row],['#tom coloured]]+Tabel1[[#This Row],['#tom red]]</f>
        <v>54.833333333333336</v>
      </c>
      <c r="E43" s="27">
        <f t="shared" ref="E43:J43" si="7">AVERAGE(E37:E42)</f>
        <v>31.833333333333332</v>
      </c>
      <c r="F43" s="26">
        <f t="shared" si="7"/>
        <v>171.41666666666666</v>
      </c>
      <c r="G43" s="27">
        <f t="shared" si="7"/>
        <v>15.666666666666666</v>
      </c>
      <c r="H43" s="26">
        <f t="shared" si="7"/>
        <v>127.29500000000002</v>
      </c>
      <c r="I43" s="28">
        <f t="shared" si="7"/>
        <v>7.333333333333333</v>
      </c>
      <c r="J43" s="26">
        <f t="shared" si="7"/>
        <v>76.90666666666668</v>
      </c>
      <c r="K43" s="31"/>
      <c r="L43" s="77">
        <f>_xlfn.STDEV.S(C37:C42)/(SQRT(COUNT(C37:C42)))</f>
        <v>30.915049059209458</v>
      </c>
      <c r="M43" s="78">
        <f>_xlfn.STDEV.S(G37:G42)/(SQRT(COUNT(G37:G42)))</f>
        <v>2.4449494427856329</v>
      </c>
      <c r="N43" s="73">
        <f>_xlfn.STDEV.S(J37:J42)/(SQRT(COUNT(J37:J42)))</f>
        <v>11.645434489294232</v>
      </c>
      <c r="O43" s="76">
        <f>(Tabel1[[#This Row],[FW red]]/(Tabel1[[#This Row],[fw green]]+Tabel1[[#This Row],[Fw coloured]]+Tabel1[[#This Row],[FW red]]))*100</f>
        <v>20.474683965550138</v>
      </c>
      <c r="P43" s="2"/>
    </row>
    <row r="44" spans="1:16" x14ac:dyDescent="0.2">
      <c r="M44" s="18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683C1-933C-4052-94C6-5F0082E2CAB6}">
  <dimension ref="A1:N64"/>
  <sheetViews>
    <sheetView topLeftCell="A28" workbookViewId="0">
      <selection activeCell="N53" sqref="N53"/>
    </sheetView>
  </sheetViews>
  <sheetFormatPr baseColWidth="10" defaultColWidth="8.83203125" defaultRowHeight="15" x14ac:dyDescent="0.2"/>
  <cols>
    <col min="4" max="4" width="9.1640625" style="13"/>
    <col min="5" max="5" width="13.6640625" customWidth="1"/>
    <col min="6" max="6" width="11.83203125" customWidth="1"/>
    <col min="7" max="8" width="13.83203125" customWidth="1"/>
  </cols>
  <sheetData>
    <row r="1" spans="1:14" ht="16" thickBot="1" x14ac:dyDescent="0.25">
      <c r="A1" s="33" t="s">
        <v>324</v>
      </c>
      <c r="B1" s="19" t="s">
        <v>0</v>
      </c>
      <c r="C1" s="20" t="s">
        <v>74</v>
      </c>
      <c r="D1" s="21" t="s">
        <v>101</v>
      </c>
      <c r="E1" s="50" t="s">
        <v>71</v>
      </c>
      <c r="F1" s="50" t="s">
        <v>79</v>
      </c>
      <c r="G1" s="51" t="s">
        <v>73</v>
      </c>
      <c r="H1" s="51" t="s">
        <v>78</v>
      </c>
      <c r="I1" s="52" t="s">
        <v>100</v>
      </c>
    </row>
    <row r="2" spans="1:14" x14ac:dyDescent="0.2">
      <c r="A2" s="8">
        <v>302</v>
      </c>
      <c r="B2" s="4" t="s">
        <v>9</v>
      </c>
      <c r="C2" s="4">
        <f>SUM(F2,H2)</f>
        <v>312.04000000000002</v>
      </c>
      <c r="D2" s="12">
        <f>Tabel15[[#This Row],['# tom green]]+Tabel15[[#This Row],['#tom red]]</f>
        <v>46</v>
      </c>
      <c r="E2" s="2">
        <v>17</v>
      </c>
      <c r="F2" s="2">
        <v>79.64</v>
      </c>
      <c r="G2" s="2">
        <v>29</v>
      </c>
      <c r="H2" s="2">
        <v>232.4</v>
      </c>
      <c r="I2" s="2">
        <v>1</v>
      </c>
      <c r="N2" s="9"/>
    </row>
    <row r="3" spans="1:14" x14ac:dyDescent="0.2">
      <c r="A3" s="8">
        <v>302</v>
      </c>
      <c r="B3" s="4" t="s">
        <v>10</v>
      </c>
      <c r="C3" s="4">
        <f t="shared" ref="C3:C21" si="0">SUM(F3,H3)</f>
        <v>183.25</v>
      </c>
      <c r="D3" s="10">
        <f>Tabel15[[#This Row],['# tom green]]+Tabel15[[#This Row],['#tom red]]</f>
        <v>38</v>
      </c>
      <c r="E3" s="2">
        <v>21</v>
      </c>
      <c r="F3" s="2">
        <v>62.79</v>
      </c>
      <c r="G3" s="2">
        <v>17</v>
      </c>
      <c r="H3" s="2">
        <v>120.46</v>
      </c>
      <c r="I3" s="2">
        <v>3</v>
      </c>
      <c r="N3" s="9"/>
    </row>
    <row r="4" spans="1:14" x14ac:dyDescent="0.2">
      <c r="A4" s="8">
        <v>302</v>
      </c>
      <c r="B4" s="4" t="s">
        <v>11</v>
      </c>
      <c r="C4" s="4">
        <f t="shared" si="0"/>
        <v>329.1</v>
      </c>
      <c r="D4" s="10">
        <f>Tabel15[[#This Row],['# tom green]]+Tabel15[[#This Row],['#tom red]]</f>
        <v>48</v>
      </c>
      <c r="E4" s="2">
        <v>23</v>
      </c>
      <c r="F4" s="2">
        <v>126.65</v>
      </c>
      <c r="G4" s="2">
        <v>25</v>
      </c>
      <c r="H4" s="2">
        <v>202.45</v>
      </c>
      <c r="I4" s="2">
        <v>1</v>
      </c>
      <c r="N4" s="9"/>
    </row>
    <row r="5" spans="1:14" x14ac:dyDescent="0.2">
      <c r="A5" s="8">
        <v>302</v>
      </c>
      <c r="B5" s="4" t="s">
        <v>12</v>
      </c>
      <c r="C5" s="4">
        <f t="shared" si="0"/>
        <v>317.64</v>
      </c>
      <c r="D5" s="10">
        <f>Tabel15[[#This Row],['# tom green]]+Tabel15[[#This Row],['#tom red]]</f>
        <v>45</v>
      </c>
      <c r="E5" s="2">
        <v>13</v>
      </c>
      <c r="F5" s="2">
        <v>55.16</v>
      </c>
      <c r="G5" s="2">
        <v>32</v>
      </c>
      <c r="H5" s="2">
        <v>262.48</v>
      </c>
      <c r="I5" s="2">
        <v>3</v>
      </c>
      <c r="N5" s="9"/>
    </row>
    <row r="6" spans="1:14" x14ac:dyDescent="0.2">
      <c r="A6" s="8">
        <v>302</v>
      </c>
      <c r="B6" s="4" t="s">
        <v>13</v>
      </c>
      <c r="C6" s="4">
        <f t="shared" si="0"/>
        <v>240.48</v>
      </c>
      <c r="D6" s="10">
        <f>Tabel15[[#This Row],['# tom green]]+Tabel15[[#This Row],['#tom red]]</f>
        <v>34</v>
      </c>
      <c r="E6" s="2">
        <v>5</v>
      </c>
      <c r="F6" s="2">
        <v>15.19</v>
      </c>
      <c r="G6" s="2">
        <v>29</v>
      </c>
      <c r="H6" s="2">
        <v>225.29</v>
      </c>
      <c r="I6" s="2">
        <v>4</v>
      </c>
      <c r="N6" s="9"/>
    </row>
    <row r="7" spans="1:14" x14ac:dyDescent="0.2">
      <c r="A7" s="8">
        <v>302</v>
      </c>
      <c r="B7" s="4" t="s">
        <v>14</v>
      </c>
      <c r="C7" s="4">
        <f t="shared" si="0"/>
        <v>239.44</v>
      </c>
      <c r="D7" s="11">
        <f>Tabel15[[#This Row],['# tom green]]+Tabel15[[#This Row],['#tom red]]</f>
        <v>35</v>
      </c>
      <c r="E7" s="2">
        <v>9</v>
      </c>
      <c r="F7" s="2">
        <v>39.54</v>
      </c>
      <c r="G7" s="2">
        <v>26</v>
      </c>
      <c r="H7" s="2">
        <v>199.9</v>
      </c>
      <c r="I7" s="2">
        <v>3</v>
      </c>
      <c r="N7" s="9"/>
    </row>
    <row r="8" spans="1:14" x14ac:dyDescent="0.2">
      <c r="A8" s="8">
        <v>302</v>
      </c>
      <c r="B8" s="4" t="s">
        <v>41</v>
      </c>
      <c r="C8" s="4">
        <f t="shared" si="0"/>
        <v>370.03</v>
      </c>
      <c r="D8" s="11">
        <f>Tabel15[[#This Row],['# tom green]]+Tabel15[[#This Row],['#tom red]]</f>
        <v>50</v>
      </c>
      <c r="E8" s="2">
        <v>22</v>
      </c>
      <c r="F8" s="2">
        <v>131.24</v>
      </c>
      <c r="G8" s="2">
        <v>28</v>
      </c>
      <c r="H8" s="2">
        <v>238.79</v>
      </c>
      <c r="I8" s="2">
        <v>1</v>
      </c>
      <c r="N8" s="9"/>
    </row>
    <row r="9" spans="1:14" x14ac:dyDescent="0.2">
      <c r="A9" s="8">
        <v>302</v>
      </c>
      <c r="B9" s="4" t="s">
        <v>42</v>
      </c>
      <c r="C9" s="4">
        <f t="shared" si="0"/>
        <v>346.5</v>
      </c>
      <c r="D9" s="11">
        <f>Tabel15[[#This Row],['# tom green]]+Tabel15[[#This Row],['#tom red]]</f>
        <v>44</v>
      </c>
      <c r="E9" s="2">
        <v>18</v>
      </c>
      <c r="F9" s="2">
        <v>87.97</v>
      </c>
      <c r="G9" s="2">
        <v>26</v>
      </c>
      <c r="H9" s="2">
        <v>258.52999999999997</v>
      </c>
      <c r="I9" s="2">
        <v>0</v>
      </c>
      <c r="N9" s="9"/>
    </row>
    <row r="10" spans="1:14" x14ac:dyDescent="0.2">
      <c r="A10" s="8">
        <v>302</v>
      </c>
      <c r="B10" s="4" t="s">
        <v>43</v>
      </c>
      <c r="C10" s="4">
        <f t="shared" si="0"/>
        <v>466.78999999999996</v>
      </c>
      <c r="D10" s="11">
        <f>Tabel15[[#This Row],['# tom green]]+Tabel15[[#This Row],['#tom red]]</f>
        <v>59</v>
      </c>
      <c r="E10" s="2">
        <v>16</v>
      </c>
      <c r="F10" s="2">
        <v>91.02</v>
      </c>
      <c r="G10" s="2">
        <v>43</v>
      </c>
      <c r="H10" s="2">
        <v>375.77</v>
      </c>
      <c r="I10" s="2">
        <v>2</v>
      </c>
      <c r="N10" s="9"/>
    </row>
    <row r="11" spans="1:14" x14ac:dyDescent="0.2">
      <c r="A11" s="8">
        <v>302</v>
      </c>
      <c r="B11" s="4" t="s">
        <v>44</v>
      </c>
      <c r="C11" s="4">
        <f t="shared" si="0"/>
        <v>405.71999999999997</v>
      </c>
      <c r="D11" s="11">
        <f>Tabel15[[#This Row],['# tom green]]+Tabel15[[#This Row],['#tom red]]</f>
        <v>55</v>
      </c>
      <c r="E11" s="2">
        <v>19</v>
      </c>
      <c r="F11" s="2">
        <v>86.89</v>
      </c>
      <c r="G11" s="2">
        <v>36</v>
      </c>
      <c r="H11" s="2">
        <v>318.83</v>
      </c>
      <c r="I11" s="2">
        <v>1</v>
      </c>
      <c r="N11" s="9"/>
    </row>
    <row r="12" spans="1:14" x14ac:dyDescent="0.2">
      <c r="A12" s="8">
        <v>302</v>
      </c>
      <c r="B12" s="4" t="s">
        <v>45</v>
      </c>
      <c r="C12" s="4">
        <f t="shared" si="0"/>
        <v>351.84</v>
      </c>
      <c r="D12" s="11">
        <f>Tabel15[[#This Row],['# tom green]]+Tabel15[[#This Row],['#tom red]]</f>
        <v>48</v>
      </c>
      <c r="E12" s="2">
        <v>20</v>
      </c>
      <c r="F12" s="2">
        <v>100.33</v>
      </c>
      <c r="G12" s="2">
        <v>28</v>
      </c>
      <c r="H12" s="2">
        <v>251.51</v>
      </c>
      <c r="I12" s="2">
        <v>1</v>
      </c>
      <c r="N12" s="9"/>
    </row>
    <row r="13" spans="1:14" x14ac:dyDescent="0.2">
      <c r="A13" s="8">
        <v>302</v>
      </c>
      <c r="B13" s="4" t="s">
        <v>46</v>
      </c>
      <c r="C13" s="4">
        <f t="shared" si="0"/>
        <v>432.4</v>
      </c>
      <c r="D13" s="11">
        <f>Tabel15[[#This Row],['# tom green]]+Tabel15[[#This Row],['#tom red]]</f>
        <v>74</v>
      </c>
      <c r="E13" s="2">
        <v>29</v>
      </c>
      <c r="F13" s="2">
        <v>80.959999999999994</v>
      </c>
      <c r="G13" s="2">
        <v>45</v>
      </c>
      <c r="H13" s="2">
        <v>351.44</v>
      </c>
      <c r="I13" s="2">
        <v>3</v>
      </c>
      <c r="N13" s="9"/>
    </row>
    <row r="14" spans="1:14" x14ac:dyDescent="0.2">
      <c r="A14" s="8">
        <v>302</v>
      </c>
      <c r="B14" s="4" t="s">
        <v>82</v>
      </c>
      <c r="C14" s="4">
        <f t="shared" si="0"/>
        <v>369.40999999999997</v>
      </c>
      <c r="D14" s="11">
        <f>Tabel15[[#This Row],['# tom green]]+Tabel15[[#This Row],['#tom red]]</f>
        <v>57</v>
      </c>
      <c r="E14" s="2">
        <v>23</v>
      </c>
      <c r="F14" s="2">
        <v>74.849999999999994</v>
      </c>
      <c r="G14" s="2">
        <v>34</v>
      </c>
      <c r="H14" s="2">
        <v>294.56</v>
      </c>
      <c r="I14" s="2">
        <v>0</v>
      </c>
      <c r="N14" s="9"/>
    </row>
    <row r="15" spans="1:14" x14ac:dyDescent="0.2">
      <c r="A15" s="8">
        <v>302</v>
      </c>
      <c r="B15" s="4" t="s">
        <v>83</v>
      </c>
      <c r="C15" s="4">
        <f t="shared" si="0"/>
        <v>324.29000000000002</v>
      </c>
      <c r="D15" s="11">
        <f>Tabel15[[#This Row],['# tom green]]+Tabel15[[#This Row],['#tom red]]</f>
        <v>44</v>
      </c>
      <c r="E15" s="2">
        <v>12</v>
      </c>
      <c r="F15" s="2">
        <v>63.36</v>
      </c>
      <c r="G15" s="2">
        <v>32</v>
      </c>
      <c r="H15" s="2">
        <v>260.93</v>
      </c>
      <c r="I15" s="2">
        <v>2</v>
      </c>
      <c r="N15" s="9"/>
    </row>
    <row r="16" spans="1:14" x14ac:dyDescent="0.2">
      <c r="A16" s="8">
        <v>302</v>
      </c>
      <c r="B16" s="4" t="s">
        <v>84</v>
      </c>
      <c r="C16" s="4">
        <f t="shared" si="0"/>
        <v>369.21000000000004</v>
      </c>
      <c r="D16" s="11">
        <f>Tabel15[[#This Row],['# tom green]]+Tabel15[[#This Row],['#tom red]]</f>
        <v>45</v>
      </c>
      <c r="E16" s="2">
        <v>11</v>
      </c>
      <c r="F16" s="2">
        <v>52.41</v>
      </c>
      <c r="G16" s="2">
        <v>34</v>
      </c>
      <c r="H16" s="2">
        <v>316.8</v>
      </c>
      <c r="I16" s="2">
        <v>0</v>
      </c>
      <c r="N16" s="9"/>
    </row>
    <row r="17" spans="1:14" x14ac:dyDescent="0.2">
      <c r="A17" s="8">
        <v>302</v>
      </c>
      <c r="B17" s="4" t="s">
        <v>85</v>
      </c>
      <c r="C17" s="4">
        <f t="shared" si="0"/>
        <v>375.53</v>
      </c>
      <c r="D17" s="11">
        <f>Tabel15[[#This Row],['# tom green]]+Tabel15[[#This Row],['#tom red]]</f>
        <v>63</v>
      </c>
      <c r="E17" s="2">
        <v>32</v>
      </c>
      <c r="F17" s="2">
        <v>102.63</v>
      </c>
      <c r="G17" s="2">
        <v>31</v>
      </c>
      <c r="H17" s="2">
        <v>272.89999999999998</v>
      </c>
      <c r="I17" s="2">
        <v>1</v>
      </c>
      <c r="N17" s="9"/>
    </row>
    <row r="18" spans="1:14" x14ac:dyDescent="0.2">
      <c r="A18" s="8">
        <v>302</v>
      </c>
      <c r="B18" s="4" t="s">
        <v>86</v>
      </c>
      <c r="C18" s="4">
        <f t="shared" si="0"/>
        <v>455.61</v>
      </c>
      <c r="D18" s="11">
        <f>Tabel15[[#This Row],['# tom green]]+Tabel15[[#This Row],['#tom red]]</f>
        <v>61</v>
      </c>
      <c r="E18" s="2">
        <v>26</v>
      </c>
      <c r="F18" s="2">
        <v>133.5</v>
      </c>
      <c r="G18" s="2">
        <v>35</v>
      </c>
      <c r="H18" s="2">
        <v>322.11</v>
      </c>
      <c r="I18" s="2">
        <v>0</v>
      </c>
      <c r="N18" s="9"/>
    </row>
    <row r="19" spans="1:14" x14ac:dyDescent="0.2">
      <c r="A19" s="8">
        <v>302</v>
      </c>
      <c r="B19" s="4" t="s">
        <v>87</v>
      </c>
      <c r="C19" s="4">
        <f t="shared" si="0"/>
        <v>182.81</v>
      </c>
      <c r="D19" s="11">
        <f>Tabel15[[#This Row],['# tom green]]+Tabel15[[#This Row],['#tom red]]</f>
        <v>33</v>
      </c>
      <c r="E19" s="2">
        <v>13</v>
      </c>
      <c r="F19" s="2">
        <v>35.97</v>
      </c>
      <c r="G19" s="2">
        <v>20</v>
      </c>
      <c r="H19" s="2">
        <v>146.84</v>
      </c>
      <c r="I19" s="2">
        <v>3</v>
      </c>
      <c r="N19" s="9"/>
    </row>
    <row r="20" spans="1:14" x14ac:dyDescent="0.2">
      <c r="A20" s="8">
        <v>302</v>
      </c>
      <c r="B20" s="4" t="s">
        <v>88</v>
      </c>
      <c r="C20" s="4">
        <f t="shared" si="0"/>
        <v>225.73000000000002</v>
      </c>
      <c r="D20" s="11">
        <f>Tabel15[[#This Row],['# tom green]]+Tabel15[[#This Row],['#tom red]]</f>
        <v>38</v>
      </c>
      <c r="E20" s="2">
        <v>13</v>
      </c>
      <c r="F20" s="2">
        <v>49.11</v>
      </c>
      <c r="G20" s="2">
        <v>25</v>
      </c>
      <c r="H20" s="2">
        <v>176.62</v>
      </c>
      <c r="I20" s="2">
        <v>5</v>
      </c>
      <c r="N20" s="9"/>
    </row>
    <row r="21" spans="1:14" x14ac:dyDescent="0.2">
      <c r="A21" s="8">
        <v>302</v>
      </c>
      <c r="B21" s="4" t="s">
        <v>89</v>
      </c>
      <c r="C21" s="4">
        <f t="shared" si="0"/>
        <v>389.81</v>
      </c>
      <c r="D21" s="11">
        <f>Tabel15[[#This Row],['# tom green]]+Tabel15[[#This Row],['#tom red]]</f>
        <v>56</v>
      </c>
      <c r="E21" s="2">
        <v>28</v>
      </c>
      <c r="F21" s="2">
        <v>145.72999999999999</v>
      </c>
      <c r="G21" s="2">
        <v>28</v>
      </c>
      <c r="H21" s="2">
        <v>244.08</v>
      </c>
      <c r="I21" s="2">
        <v>1</v>
      </c>
      <c r="N21" s="9"/>
    </row>
    <row r="22" spans="1:14" x14ac:dyDescent="0.2">
      <c r="A22" s="8">
        <v>302</v>
      </c>
      <c r="B22" s="4" t="s">
        <v>90</v>
      </c>
      <c r="C22" s="4">
        <f t="shared" ref="C22:C31" si="1">SUM(F22,H22)</f>
        <v>274.26</v>
      </c>
      <c r="D22" s="11">
        <f>Tabel15[[#This Row],['# tom green]]+Tabel15[[#This Row],['#tom red]]</f>
        <v>38</v>
      </c>
      <c r="E22" s="2">
        <v>10</v>
      </c>
      <c r="F22" s="2">
        <v>57.07</v>
      </c>
      <c r="G22" s="2">
        <v>28</v>
      </c>
      <c r="H22" s="2">
        <v>217.19</v>
      </c>
      <c r="I22" s="2">
        <v>2</v>
      </c>
      <c r="N22" s="9"/>
    </row>
    <row r="23" spans="1:14" x14ac:dyDescent="0.2">
      <c r="A23" s="8">
        <v>302</v>
      </c>
      <c r="B23" s="4" t="s">
        <v>91</v>
      </c>
      <c r="C23" s="4">
        <f t="shared" si="1"/>
        <v>340.09</v>
      </c>
      <c r="D23" s="11">
        <f>Tabel15[[#This Row],['# tom green]]+Tabel15[[#This Row],['#tom red]]</f>
        <v>45</v>
      </c>
      <c r="E23" s="2">
        <v>20</v>
      </c>
      <c r="F23" s="2">
        <v>100.58</v>
      </c>
      <c r="G23" s="2">
        <v>25</v>
      </c>
      <c r="H23" s="2">
        <v>239.51</v>
      </c>
      <c r="I23" s="2">
        <v>0</v>
      </c>
      <c r="N23" s="9"/>
    </row>
    <row r="24" spans="1:14" x14ac:dyDescent="0.2">
      <c r="A24" s="8">
        <v>302</v>
      </c>
      <c r="B24" s="4" t="s">
        <v>92</v>
      </c>
      <c r="C24" s="4">
        <f t="shared" si="1"/>
        <v>226.54</v>
      </c>
      <c r="D24" s="11">
        <f>Tabel15[[#This Row],['# tom green]]+Tabel15[[#This Row],['#tom red]]</f>
        <v>37</v>
      </c>
      <c r="E24" s="2">
        <v>12</v>
      </c>
      <c r="F24" s="2">
        <v>37.619999999999997</v>
      </c>
      <c r="G24" s="2">
        <v>25</v>
      </c>
      <c r="H24" s="2">
        <v>188.92</v>
      </c>
      <c r="I24" s="2">
        <v>3</v>
      </c>
      <c r="N24" s="9"/>
    </row>
    <row r="25" spans="1:14" x14ac:dyDescent="0.2">
      <c r="A25" s="8">
        <v>302</v>
      </c>
      <c r="B25" s="4" t="s">
        <v>93</v>
      </c>
      <c r="C25" s="4">
        <f t="shared" si="1"/>
        <v>391.75</v>
      </c>
      <c r="D25" s="11">
        <f>Tabel15[[#This Row],['# tom green]]+Tabel15[[#This Row],['#tom red]]</f>
        <v>57</v>
      </c>
      <c r="E25" s="2">
        <v>25</v>
      </c>
      <c r="F25" s="2">
        <v>111.71</v>
      </c>
      <c r="G25" s="2">
        <v>32</v>
      </c>
      <c r="H25" s="2">
        <v>280.04000000000002</v>
      </c>
      <c r="I25" s="2">
        <v>2</v>
      </c>
      <c r="N25" s="9"/>
    </row>
    <row r="26" spans="1:14" x14ac:dyDescent="0.2">
      <c r="A26" s="8">
        <v>302</v>
      </c>
      <c r="B26" s="4" t="s">
        <v>94</v>
      </c>
      <c r="C26" s="4">
        <f t="shared" si="1"/>
        <v>382.30999999999995</v>
      </c>
      <c r="D26" s="11">
        <f>Tabel15[[#This Row],['# tom green]]+Tabel15[[#This Row],['#tom red]]</f>
        <v>51</v>
      </c>
      <c r="E26" s="2">
        <v>23</v>
      </c>
      <c r="F26" s="2">
        <v>130.41999999999999</v>
      </c>
      <c r="G26" s="2">
        <v>28</v>
      </c>
      <c r="H26" s="2">
        <v>251.89</v>
      </c>
      <c r="I26" s="2">
        <v>0</v>
      </c>
      <c r="N26" s="9"/>
    </row>
    <row r="27" spans="1:14" x14ac:dyDescent="0.2">
      <c r="A27" s="8">
        <v>302</v>
      </c>
      <c r="B27" s="4" t="s">
        <v>95</v>
      </c>
      <c r="C27" s="4">
        <f t="shared" si="1"/>
        <v>385.65999999999997</v>
      </c>
      <c r="D27" s="11">
        <f>Tabel15[[#This Row],['# tom green]]+Tabel15[[#This Row],['#tom red]]</f>
        <v>50</v>
      </c>
      <c r="E27" s="2">
        <v>20</v>
      </c>
      <c r="F27" s="2">
        <v>107.52</v>
      </c>
      <c r="G27" s="2">
        <v>30</v>
      </c>
      <c r="H27" s="2">
        <v>278.14</v>
      </c>
      <c r="I27" s="2">
        <v>0</v>
      </c>
      <c r="N27" s="9"/>
    </row>
    <row r="28" spans="1:14" x14ac:dyDescent="0.2">
      <c r="A28" s="8">
        <v>302</v>
      </c>
      <c r="B28" s="4" t="s">
        <v>96</v>
      </c>
      <c r="C28" s="4">
        <f t="shared" si="1"/>
        <v>169.74</v>
      </c>
      <c r="D28" s="11">
        <f>Tabel15[[#This Row],['# tom green]]+Tabel15[[#This Row],['#tom red]]</f>
        <v>26</v>
      </c>
      <c r="E28" s="2">
        <v>6</v>
      </c>
      <c r="F28" s="2">
        <v>19.440000000000001</v>
      </c>
      <c r="G28" s="2">
        <v>20</v>
      </c>
      <c r="H28" s="2">
        <v>150.30000000000001</v>
      </c>
      <c r="I28" s="2">
        <v>2</v>
      </c>
      <c r="N28" s="9"/>
    </row>
    <row r="29" spans="1:14" x14ac:dyDescent="0.2">
      <c r="A29" s="8">
        <v>302</v>
      </c>
      <c r="B29" s="4" t="s">
        <v>97</v>
      </c>
      <c r="C29" s="4">
        <f t="shared" si="1"/>
        <v>340.32</v>
      </c>
      <c r="D29" s="11">
        <f>Tabel15[[#This Row],['# tom green]]+Tabel15[[#This Row],['#tom red]]</f>
        <v>52</v>
      </c>
      <c r="E29" s="2">
        <v>22</v>
      </c>
      <c r="F29" s="2">
        <v>89.77</v>
      </c>
      <c r="G29" s="2">
        <v>30</v>
      </c>
      <c r="H29" s="2">
        <v>250.55</v>
      </c>
      <c r="I29" s="2">
        <v>1</v>
      </c>
      <c r="N29" s="9"/>
    </row>
    <row r="30" spans="1:14" x14ac:dyDescent="0.2">
      <c r="A30" s="35">
        <v>302</v>
      </c>
      <c r="B30" s="34" t="s">
        <v>98</v>
      </c>
      <c r="C30" s="4">
        <f t="shared" si="1"/>
        <v>327.8</v>
      </c>
      <c r="D30" s="11">
        <f>Tabel15[[#This Row],['# tom green]]+Tabel15[[#This Row],['#tom red]]</f>
        <v>44</v>
      </c>
      <c r="E30" s="2">
        <v>22</v>
      </c>
      <c r="F30" s="2">
        <v>121.69</v>
      </c>
      <c r="G30" s="2">
        <v>22</v>
      </c>
      <c r="H30" s="2">
        <v>206.11</v>
      </c>
      <c r="I30" s="2">
        <v>0</v>
      </c>
      <c r="N30" s="9"/>
    </row>
    <row r="31" spans="1:14" x14ac:dyDescent="0.2">
      <c r="A31" s="35">
        <v>302</v>
      </c>
      <c r="B31" s="34" t="s">
        <v>99</v>
      </c>
      <c r="C31" s="4">
        <f t="shared" si="1"/>
        <v>361.17</v>
      </c>
      <c r="D31" s="11">
        <f>Tabel15[[#This Row],['# tom green]]+Tabel15[[#This Row],['#tom red]]</f>
        <v>53</v>
      </c>
      <c r="E31" s="2">
        <v>24</v>
      </c>
      <c r="F31" s="2">
        <v>102.55</v>
      </c>
      <c r="G31" s="2">
        <v>29</v>
      </c>
      <c r="H31" s="2">
        <v>258.62</v>
      </c>
      <c r="I31" s="2">
        <v>0</v>
      </c>
      <c r="N31" s="9"/>
    </row>
    <row r="32" spans="1:14" x14ac:dyDescent="0.2">
      <c r="A32" s="35">
        <v>302</v>
      </c>
      <c r="B32" s="34" t="s">
        <v>144</v>
      </c>
      <c r="C32" s="4"/>
      <c r="D32" s="11"/>
      <c r="E32" s="2"/>
      <c r="F32" s="2"/>
      <c r="G32" s="2"/>
      <c r="H32" s="2">
        <v>269.55</v>
      </c>
      <c r="I32" s="2"/>
      <c r="N32" s="9"/>
    </row>
    <row r="33" spans="1:14" x14ac:dyDescent="0.2">
      <c r="A33" s="35">
        <v>302</v>
      </c>
      <c r="B33" s="34" t="s">
        <v>145</v>
      </c>
      <c r="C33" s="4"/>
      <c r="D33" s="11"/>
      <c r="E33" s="2"/>
      <c r="F33" s="2"/>
      <c r="G33" s="2"/>
      <c r="H33" s="2">
        <v>219.39</v>
      </c>
      <c r="I33" s="2"/>
      <c r="N33" s="9"/>
    </row>
    <row r="34" spans="1:14" x14ac:dyDescent="0.2">
      <c r="A34" s="35">
        <v>302</v>
      </c>
      <c r="B34" s="34" t="s">
        <v>146</v>
      </c>
      <c r="C34" s="4"/>
      <c r="D34" s="11"/>
      <c r="E34" s="2"/>
      <c r="F34" s="2"/>
      <c r="G34" s="2"/>
      <c r="H34" s="2">
        <v>270.49</v>
      </c>
      <c r="I34" s="2"/>
      <c r="N34" s="9"/>
    </row>
    <row r="35" spans="1:14" x14ac:dyDescent="0.2">
      <c r="A35" s="35">
        <v>302</v>
      </c>
      <c r="B35" s="34" t="s">
        <v>147</v>
      </c>
      <c r="C35" s="4"/>
      <c r="D35" s="11"/>
      <c r="E35" s="2"/>
      <c r="F35" s="2"/>
      <c r="G35" s="2"/>
      <c r="H35" s="2">
        <v>296.45999999999998</v>
      </c>
      <c r="I35" s="2"/>
      <c r="N35" s="9"/>
    </row>
    <row r="36" spans="1:14" x14ac:dyDescent="0.2">
      <c r="A36" s="35">
        <v>302</v>
      </c>
      <c r="B36" s="34" t="s">
        <v>148</v>
      </c>
      <c r="C36" s="4"/>
      <c r="D36" s="11"/>
      <c r="E36" s="2"/>
      <c r="F36" s="2"/>
      <c r="G36" s="2"/>
      <c r="H36" s="2">
        <v>152.52000000000001</v>
      </c>
      <c r="I36" s="2"/>
      <c r="N36" s="9"/>
    </row>
    <row r="37" spans="1:14" x14ac:dyDescent="0.2">
      <c r="A37" s="35">
        <v>302</v>
      </c>
      <c r="B37" s="34" t="s">
        <v>149</v>
      </c>
      <c r="C37" s="4"/>
      <c r="D37" s="11"/>
      <c r="E37" s="2"/>
      <c r="F37" s="2"/>
      <c r="G37" s="2"/>
      <c r="H37" s="2">
        <v>294.66000000000003</v>
      </c>
      <c r="I37" s="2"/>
      <c r="N37" s="9"/>
    </row>
    <row r="38" spans="1:14" x14ac:dyDescent="0.2">
      <c r="A38" s="35">
        <v>302</v>
      </c>
      <c r="B38" s="34" t="s">
        <v>150</v>
      </c>
      <c r="C38" s="4"/>
      <c r="D38" s="11"/>
      <c r="E38" s="2"/>
      <c r="F38" s="2"/>
      <c r="G38" s="2"/>
      <c r="H38" s="2">
        <v>270.95999999999998</v>
      </c>
      <c r="I38" s="2"/>
      <c r="N38" s="9"/>
    </row>
    <row r="39" spans="1:14" x14ac:dyDescent="0.2">
      <c r="A39" s="35">
        <v>302</v>
      </c>
      <c r="B39" s="34" t="s">
        <v>151</v>
      </c>
      <c r="C39" s="4"/>
      <c r="D39" s="11"/>
      <c r="E39" s="2"/>
      <c r="F39" s="2"/>
      <c r="G39" s="2"/>
      <c r="H39" s="2">
        <v>325.10000000000002</v>
      </c>
      <c r="I39" s="2"/>
      <c r="N39" s="9"/>
    </row>
    <row r="40" spans="1:14" x14ac:dyDescent="0.2">
      <c r="A40" s="35">
        <v>302</v>
      </c>
      <c r="B40" s="34" t="s">
        <v>152</v>
      </c>
      <c r="C40" s="4"/>
      <c r="D40" s="11"/>
      <c r="E40" s="2"/>
      <c r="F40" s="2"/>
      <c r="G40" s="2"/>
      <c r="H40" s="2">
        <v>318.77999999999997</v>
      </c>
      <c r="I40" s="2"/>
      <c r="N40" s="9"/>
    </row>
    <row r="41" spans="1:14" x14ac:dyDescent="0.2">
      <c r="A41" s="35">
        <v>302</v>
      </c>
      <c r="B41" s="34" t="s">
        <v>153</v>
      </c>
      <c r="C41" s="4"/>
      <c r="D41" s="11"/>
      <c r="E41" s="2"/>
      <c r="F41" s="2"/>
      <c r="G41" s="2"/>
      <c r="H41" s="2">
        <v>274.3</v>
      </c>
      <c r="I41" s="2"/>
      <c r="N41" s="9"/>
    </row>
    <row r="42" spans="1:14" x14ac:dyDescent="0.2">
      <c r="A42" s="35">
        <v>302</v>
      </c>
      <c r="B42" s="34" t="s">
        <v>154</v>
      </c>
      <c r="C42" s="4"/>
      <c r="D42" s="11"/>
      <c r="E42" s="2"/>
      <c r="F42" s="2"/>
      <c r="G42" s="2"/>
      <c r="H42" s="2">
        <v>34.01</v>
      </c>
      <c r="I42" s="2"/>
      <c r="N42" s="9"/>
    </row>
    <row r="43" spans="1:14" x14ac:dyDescent="0.2">
      <c r="A43" s="35">
        <v>302</v>
      </c>
      <c r="B43" s="34" t="s">
        <v>155</v>
      </c>
      <c r="C43" s="4"/>
      <c r="D43" s="11"/>
      <c r="E43" s="2"/>
      <c r="F43" s="2"/>
      <c r="G43" s="2"/>
      <c r="H43" s="2">
        <v>344.99</v>
      </c>
      <c r="I43" s="2"/>
      <c r="N43" s="9"/>
    </row>
    <row r="44" spans="1:14" x14ac:dyDescent="0.2">
      <c r="A44" s="35">
        <v>302</v>
      </c>
      <c r="B44" s="34" t="s">
        <v>156</v>
      </c>
      <c r="C44" s="4"/>
      <c r="D44" s="11"/>
      <c r="E44" s="2"/>
      <c r="F44" s="2"/>
      <c r="G44" s="2"/>
      <c r="H44" s="2">
        <v>267.83</v>
      </c>
      <c r="I44" s="2"/>
      <c r="N44" s="9"/>
    </row>
    <row r="45" spans="1:14" x14ac:dyDescent="0.2">
      <c r="A45" s="35">
        <v>302</v>
      </c>
      <c r="B45" s="34" t="s">
        <v>157</v>
      </c>
      <c r="C45" s="4"/>
      <c r="D45" s="11"/>
      <c r="E45" s="2"/>
      <c r="F45" s="2"/>
      <c r="G45" s="2"/>
      <c r="H45" s="2">
        <v>283.91000000000003</v>
      </c>
      <c r="I45" s="2"/>
      <c r="N45" s="9"/>
    </row>
    <row r="46" spans="1:14" x14ac:dyDescent="0.2">
      <c r="A46" s="35">
        <v>302</v>
      </c>
      <c r="B46" s="34" t="s">
        <v>158</v>
      </c>
      <c r="C46" s="4"/>
      <c r="D46" s="11"/>
      <c r="E46" s="2"/>
      <c r="F46" s="2"/>
      <c r="G46" s="2"/>
      <c r="H46" s="2">
        <v>293.31</v>
      </c>
      <c r="I46" s="2"/>
      <c r="N46" s="9"/>
    </row>
    <row r="47" spans="1:14" x14ac:dyDescent="0.2">
      <c r="A47" s="35">
        <v>302</v>
      </c>
      <c r="B47" s="34" t="s">
        <v>159</v>
      </c>
      <c r="C47" s="4"/>
      <c r="D47" s="11"/>
      <c r="E47" s="2"/>
      <c r="F47" s="2"/>
      <c r="G47" s="2"/>
      <c r="H47" s="2">
        <v>246.7</v>
      </c>
      <c r="I47" s="2"/>
      <c r="N47" s="9"/>
    </row>
    <row r="48" spans="1:14" x14ac:dyDescent="0.2">
      <c r="A48" s="35">
        <v>302</v>
      </c>
      <c r="B48" s="34" t="s">
        <v>160</v>
      </c>
      <c r="C48" s="4"/>
      <c r="D48" s="11"/>
      <c r="E48" s="2"/>
      <c r="F48" s="2"/>
      <c r="G48" s="2"/>
      <c r="H48" s="2">
        <v>212.88</v>
      </c>
      <c r="I48" s="2"/>
      <c r="N48" s="9"/>
    </row>
    <row r="49" spans="1:14" x14ac:dyDescent="0.2">
      <c r="A49" s="35">
        <v>302</v>
      </c>
      <c r="B49" s="34" t="s">
        <v>161</v>
      </c>
      <c r="C49" s="4"/>
      <c r="D49" s="11"/>
      <c r="E49" s="2"/>
      <c r="F49" s="2"/>
      <c r="G49" s="2"/>
      <c r="H49" s="2">
        <v>248.77</v>
      </c>
      <c r="I49" s="2"/>
      <c r="N49" s="9"/>
    </row>
    <row r="50" spans="1:14" x14ac:dyDescent="0.2">
      <c r="A50" s="35">
        <v>302</v>
      </c>
      <c r="B50" s="34" t="s">
        <v>162</v>
      </c>
      <c r="C50" s="4"/>
      <c r="D50" s="11"/>
      <c r="E50" s="2"/>
      <c r="F50" s="2"/>
      <c r="G50" s="2"/>
      <c r="H50" s="2">
        <v>281.32</v>
      </c>
      <c r="I50" s="2"/>
      <c r="N50" s="9"/>
    </row>
    <row r="51" spans="1:14" x14ac:dyDescent="0.2">
      <c r="A51" s="35">
        <v>302</v>
      </c>
      <c r="B51" s="34" t="s">
        <v>163</v>
      </c>
      <c r="C51" s="4"/>
      <c r="D51" s="11"/>
      <c r="E51" s="2"/>
      <c r="F51" s="2"/>
      <c r="G51" s="2"/>
      <c r="H51" s="2">
        <v>310.60000000000002</v>
      </c>
      <c r="I51" s="2"/>
      <c r="N51" s="9"/>
    </row>
    <row r="52" spans="1:14" ht="16" thickBot="1" x14ac:dyDescent="0.25">
      <c r="N52" t="s">
        <v>102</v>
      </c>
    </row>
    <row r="53" spans="1:14" ht="16" thickBot="1" x14ac:dyDescent="0.25">
      <c r="A53" s="55" t="s">
        <v>327</v>
      </c>
      <c r="B53" s="44"/>
      <c r="C53" s="55">
        <f>SUM(C2:C31)</f>
        <v>9887.2699999999986</v>
      </c>
      <c r="D53" s="55">
        <f>SUM(D2:D51)</f>
        <v>1426</v>
      </c>
      <c r="E53" s="44">
        <f>SUM(E2:E51)</f>
        <v>554</v>
      </c>
      <c r="F53" s="55">
        <f>SUM(F2:F51)</f>
        <v>2493.31</v>
      </c>
      <c r="G53" s="55">
        <f>SUM(G2:G51)</f>
        <v>872</v>
      </c>
      <c r="H53" s="45">
        <f>SUM(H2:H31)</f>
        <v>7393.96</v>
      </c>
      <c r="I53" s="55">
        <f>SUM(I2:I51)</f>
        <v>45</v>
      </c>
      <c r="J53" s="67">
        <f>I53/G53</f>
        <v>5.1605504587155966E-2</v>
      </c>
      <c r="N53" s="54">
        <f>(H53/C53)*100</f>
        <v>74.78262452628482</v>
      </c>
    </row>
    <row r="54" spans="1:14" ht="16" thickBot="1" x14ac:dyDescent="0.25">
      <c r="A54" s="57" t="s">
        <v>329</v>
      </c>
      <c r="H54" s="57">
        <f>SUM(H2:H51)</f>
        <v>12610.49</v>
      </c>
      <c r="N54" s="9"/>
    </row>
    <row r="55" spans="1:14" x14ac:dyDescent="0.2">
      <c r="A55" s="58" t="s">
        <v>328</v>
      </c>
      <c r="B55" s="36"/>
      <c r="C55" s="37"/>
      <c r="D55" s="38"/>
      <c r="E55" s="41">
        <f>30*5</f>
        <v>150</v>
      </c>
      <c r="F55" s="41">
        <v>722.49</v>
      </c>
      <c r="G55" s="41">
        <f>30*5</f>
        <v>150</v>
      </c>
      <c r="H55" s="41">
        <v>1232.0899999999999</v>
      </c>
      <c r="I55" s="37"/>
      <c r="J55" s="37"/>
      <c r="K55" s="79" t="s">
        <v>325</v>
      </c>
      <c r="L55" s="80"/>
    </row>
    <row r="56" spans="1:14" x14ac:dyDescent="0.2">
      <c r="A56" s="57"/>
      <c r="B56" s="40"/>
      <c r="E56" s="2"/>
      <c r="F56" s="2">
        <v>58.4</v>
      </c>
      <c r="G56" s="2"/>
      <c r="H56" s="2">
        <v>89.68</v>
      </c>
      <c r="K56" s="81" t="s">
        <v>326</v>
      </c>
      <c r="L56" s="82"/>
    </row>
    <row r="57" spans="1:14" ht="16" thickBot="1" x14ac:dyDescent="0.25">
      <c r="A57" s="56"/>
      <c r="B57" s="39"/>
      <c r="C57" s="29"/>
      <c r="D57" s="53"/>
      <c r="E57" s="42"/>
      <c r="F57" s="43">
        <f>(F56/F55)*100</f>
        <v>8.0831568603025659</v>
      </c>
      <c r="G57" s="42"/>
      <c r="H57" s="43">
        <f>(H56/H55)*100</f>
        <v>7.2786890568059164</v>
      </c>
      <c r="I57" s="29"/>
      <c r="J57" s="29"/>
      <c r="K57" s="83" t="s">
        <v>323</v>
      </c>
      <c r="L57" s="84"/>
    </row>
    <row r="58" spans="1:14" ht="16" thickBot="1" x14ac:dyDescent="0.25">
      <c r="A58" s="55" t="s">
        <v>240</v>
      </c>
      <c r="B58" s="29"/>
      <c r="C58" s="29"/>
      <c r="D58" s="53"/>
      <c r="E58" s="29"/>
      <c r="F58" s="29"/>
      <c r="G58" s="29"/>
      <c r="H58" s="55">
        <f>AVERAGE(Tabel15[FW red])</f>
        <v>252.2098</v>
      </c>
    </row>
    <row r="60" spans="1:14" x14ac:dyDescent="0.2">
      <c r="B60" s="70" t="s">
        <v>333</v>
      </c>
      <c r="C60" s="71">
        <f>AVERAGE(C2:C31)</f>
        <v>329.57566666666662</v>
      </c>
    </row>
    <row r="61" spans="1:14" x14ac:dyDescent="0.2">
      <c r="B61" s="59" t="s">
        <v>40</v>
      </c>
      <c r="C61" s="35">
        <f>_xlfn.STDEV.S(C2:C51)/(SQRT(COUNT(C2:C7)))</f>
        <v>32.423065414923187</v>
      </c>
    </row>
    <row r="62" spans="1:14" x14ac:dyDescent="0.2">
      <c r="B62" s="59"/>
      <c r="C62" s="35"/>
    </row>
    <row r="63" spans="1:14" x14ac:dyDescent="0.2">
      <c r="B63" s="59" t="s">
        <v>332</v>
      </c>
      <c r="C63" s="35">
        <f>AVERAGE(H2:H31)</f>
        <v>246.46533333333335</v>
      </c>
    </row>
    <row r="64" spans="1:14" x14ac:dyDescent="0.2">
      <c r="B64" s="72" t="s">
        <v>40</v>
      </c>
      <c r="C64" s="34">
        <f>_xlfn.STDEV.S(H2:H31)/(SQRT(COUNT(H2:H31)))</f>
        <v>10.732308347575247</v>
      </c>
    </row>
  </sheetData>
  <mergeCells count="3">
    <mergeCell ref="K55:L55"/>
    <mergeCell ref="K56:L56"/>
    <mergeCell ref="K57:L57"/>
  </mergeCells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EA585-3E65-48A2-B746-223FA838A28D}">
  <dimension ref="A1:N64"/>
  <sheetViews>
    <sheetView topLeftCell="A30" workbookViewId="0">
      <selection activeCell="K55" sqref="K55:L57"/>
    </sheetView>
  </sheetViews>
  <sheetFormatPr baseColWidth="10" defaultColWidth="8.83203125" defaultRowHeight="15" x14ac:dyDescent="0.2"/>
  <cols>
    <col min="4" max="4" width="9.1640625" style="13"/>
    <col min="5" max="5" width="13.6640625" customWidth="1"/>
    <col min="6" max="6" width="11.83203125" customWidth="1"/>
    <col min="7" max="8" width="13.83203125" customWidth="1"/>
  </cols>
  <sheetData>
    <row r="1" spans="1:14" ht="16" thickBot="1" x14ac:dyDescent="0.25">
      <c r="A1" s="33" t="s">
        <v>324</v>
      </c>
      <c r="B1" s="19" t="s">
        <v>0</v>
      </c>
      <c r="C1" s="20" t="s">
        <v>74</v>
      </c>
      <c r="D1" s="21" t="s">
        <v>101</v>
      </c>
      <c r="E1" s="22" t="s">
        <v>71</v>
      </c>
      <c r="F1" s="22" t="s">
        <v>79</v>
      </c>
      <c r="G1" s="24" t="s">
        <v>73</v>
      </c>
      <c r="H1" s="24" t="s">
        <v>78</v>
      </c>
      <c r="I1" s="52" t="s">
        <v>100</v>
      </c>
    </row>
    <row r="2" spans="1:14" x14ac:dyDescent="0.2">
      <c r="A2" s="8">
        <v>307</v>
      </c>
      <c r="B2" s="4" t="s">
        <v>27</v>
      </c>
      <c r="C2" s="4">
        <f>SUM(F2,H2)</f>
        <v>260.14999999999998</v>
      </c>
      <c r="D2" s="12">
        <f>Tabel157[[#This Row],['# tom green]]+Tabel157[[#This Row],['#tom red]]</f>
        <v>45</v>
      </c>
      <c r="E2" s="4">
        <v>23</v>
      </c>
      <c r="F2" s="4">
        <v>94.93</v>
      </c>
      <c r="G2" s="4">
        <v>22</v>
      </c>
      <c r="H2" s="4">
        <v>165.22</v>
      </c>
      <c r="I2" s="2">
        <v>2</v>
      </c>
      <c r="N2" s="9"/>
    </row>
    <row r="3" spans="1:14" x14ac:dyDescent="0.2">
      <c r="A3" s="8">
        <v>307</v>
      </c>
      <c r="B3" s="4" t="s">
        <v>28</v>
      </c>
      <c r="C3" s="4">
        <f t="shared" ref="C3:C30" si="0">SUM(F3,H3)</f>
        <v>200.21</v>
      </c>
      <c r="D3" s="10">
        <f>Tabel157[[#This Row],['# tom green]]+Tabel157[[#This Row],['#tom red]]</f>
        <v>35</v>
      </c>
      <c r="E3" s="2">
        <v>12</v>
      </c>
      <c r="F3" s="2">
        <v>59.19</v>
      </c>
      <c r="G3" s="2">
        <v>23</v>
      </c>
      <c r="H3" s="2">
        <v>141.02000000000001</v>
      </c>
      <c r="I3" s="2">
        <v>5</v>
      </c>
      <c r="N3" s="9"/>
    </row>
    <row r="4" spans="1:14" x14ac:dyDescent="0.2">
      <c r="A4" s="8">
        <v>307</v>
      </c>
      <c r="B4" s="4" t="s">
        <v>29</v>
      </c>
      <c r="C4" s="4">
        <f t="shared" si="0"/>
        <v>146.58000000000001</v>
      </c>
      <c r="D4" s="10">
        <f>Tabel157[[#This Row],['# tom green]]+Tabel157[[#This Row],['#tom red]]</f>
        <v>22</v>
      </c>
      <c r="E4" s="2">
        <v>3</v>
      </c>
      <c r="F4" s="2">
        <v>9.7200000000000006</v>
      </c>
      <c r="G4" s="2">
        <v>19</v>
      </c>
      <c r="H4" s="2">
        <v>136.86000000000001</v>
      </c>
      <c r="I4" s="2">
        <v>6</v>
      </c>
      <c r="N4" s="9"/>
    </row>
    <row r="5" spans="1:14" x14ac:dyDescent="0.2">
      <c r="A5" s="8">
        <v>307</v>
      </c>
      <c r="B5" s="4" t="s">
        <v>30</v>
      </c>
      <c r="C5" s="4">
        <f t="shared" si="0"/>
        <v>245.68</v>
      </c>
      <c r="D5" s="10">
        <f>Tabel157[[#This Row],['# tom green]]+Tabel157[[#This Row],['#tom red]]</f>
        <v>42</v>
      </c>
      <c r="E5" s="2">
        <v>7</v>
      </c>
      <c r="F5" s="2">
        <v>16.170000000000002</v>
      </c>
      <c r="G5" s="2">
        <v>35</v>
      </c>
      <c r="H5" s="2">
        <v>229.51</v>
      </c>
      <c r="I5" s="2">
        <v>7</v>
      </c>
      <c r="N5" s="9"/>
    </row>
    <row r="6" spans="1:14" x14ac:dyDescent="0.2">
      <c r="A6" s="8">
        <v>307</v>
      </c>
      <c r="B6" s="4" t="s">
        <v>31</v>
      </c>
      <c r="C6" s="4">
        <f t="shared" si="0"/>
        <v>270.64</v>
      </c>
      <c r="D6" s="10">
        <f>Tabel157[[#This Row],['# tom green]]+Tabel157[[#This Row],['#tom red]]</f>
        <v>40</v>
      </c>
      <c r="E6" s="2">
        <v>5</v>
      </c>
      <c r="F6" s="2">
        <v>17.440000000000001</v>
      </c>
      <c r="G6" s="2">
        <v>35</v>
      </c>
      <c r="H6" s="2">
        <v>253.2</v>
      </c>
      <c r="I6" s="2">
        <v>9</v>
      </c>
      <c r="N6" s="9"/>
    </row>
    <row r="7" spans="1:14" x14ac:dyDescent="0.2">
      <c r="A7" s="8">
        <v>307</v>
      </c>
      <c r="B7" s="4" t="s">
        <v>32</v>
      </c>
      <c r="C7" s="4">
        <f t="shared" si="0"/>
        <v>225.61</v>
      </c>
      <c r="D7" s="11">
        <f>Tabel157[[#This Row],['# tom green]]+Tabel157[[#This Row],['#tom red]]</f>
        <v>38</v>
      </c>
      <c r="E7" s="3">
        <v>6</v>
      </c>
      <c r="F7" s="3">
        <v>25.78</v>
      </c>
      <c r="G7" s="3">
        <v>32</v>
      </c>
      <c r="H7" s="3">
        <v>199.83</v>
      </c>
      <c r="I7" s="2">
        <v>14</v>
      </c>
      <c r="N7" s="9"/>
    </row>
    <row r="8" spans="1:14" x14ac:dyDescent="0.2">
      <c r="A8" s="8">
        <v>307</v>
      </c>
      <c r="B8" s="4" t="s">
        <v>106</v>
      </c>
      <c r="C8" s="4">
        <f t="shared" si="0"/>
        <v>233.22</v>
      </c>
      <c r="D8" s="11">
        <f>Tabel157[[#This Row],['# tom green]]+Tabel157[[#This Row],['#tom red]]</f>
        <v>37</v>
      </c>
      <c r="E8" s="3">
        <v>5</v>
      </c>
      <c r="F8" s="3">
        <v>20.49</v>
      </c>
      <c r="G8" s="3">
        <v>32</v>
      </c>
      <c r="H8" s="3">
        <v>212.73</v>
      </c>
      <c r="I8" s="2">
        <v>7</v>
      </c>
      <c r="N8" s="9"/>
    </row>
    <row r="9" spans="1:14" x14ac:dyDescent="0.2">
      <c r="A9" s="8">
        <v>307</v>
      </c>
      <c r="B9" s="4" t="s">
        <v>107</v>
      </c>
      <c r="C9" s="4">
        <f t="shared" si="0"/>
        <v>233.70999999999998</v>
      </c>
      <c r="D9" s="11">
        <f>Tabel157[[#This Row],['# tom green]]+Tabel157[[#This Row],['#tom red]]</f>
        <v>36</v>
      </c>
      <c r="E9" s="3">
        <v>9</v>
      </c>
      <c r="F9" s="3">
        <v>33.39</v>
      </c>
      <c r="G9" s="3">
        <v>27</v>
      </c>
      <c r="H9" s="3">
        <v>200.32</v>
      </c>
      <c r="I9" s="2">
        <v>2</v>
      </c>
      <c r="N9" s="9"/>
    </row>
    <row r="10" spans="1:14" x14ac:dyDescent="0.2">
      <c r="A10" s="8">
        <v>307</v>
      </c>
      <c r="B10" s="4" t="s">
        <v>108</v>
      </c>
      <c r="C10" s="4">
        <f t="shared" si="0"/>
        <v>371.59000000000003</v>
      </c>
      <c r="D10" s="11">
        <f>Tabel157[[#This Row],['# tom green]]+Tabel157[[#This Row],['#tom red]]</f>
        <v>52</v>
      </c>
      <c r="E10" s="3">
        <v>6</v>
      </c>
      <c r="F10" s="3">
        <v>21.97</v>
      </c>
      <c r="G10" s="3">
        <v>46</v>
      </c>
      <c r="H10" s="3">
        <v>349.62</v>
      </c>
      <c r="I10" s="2">
        <v>8</v>
      </c>
      <c r="N10" s="9"/>
    </row>
    <row r="11" spans="1:14" x14ac:dyDescent="0.2">
      <c r="A11" s="8">
        <v>307</v>
      </c>
      <c r="B11" s="4" t="s">
        <v>109</v>
      </c>
      <c r="C11" s="4">
        <f t="shared" si="0"/>
        <v>207.83</v>
      </c>
      <c r="D11" s="11">
        <f>Tabel157[[#This Row],['# tom green]]+Tabel157[[#This Row],['#tom red]]</f>
        <v>39</v>
      </c>
      <c r="E11" s="3">
        <v>7</v>
      </c>
      <c r="F11" s="3">
        <v>12.74</v>
      </c>
      <c r="G11" s="3">
        <v>32</v>
      </c>
      <c r="H11" s="3">
        <v>195.09</v>
      </c>
      <c r="I11" s="2">
        <v>15</v>
      </c>
      <c r="N11" s="9"/>
    </row>
    <row r="12" spans="1:14" x14ac:dyDescent="0.2">
      <c r="A12" s="8">
        <v>307</v>
      </c>
      <c r="B12" s="4" t="s">
        <v>110</v>
      </c>
      <c r="C12" s="4">
        <f t="shared" si="0"/>
        <v>193.01</v>
      </c>
      <c r="D12" s="11">
        <f>Tabel157[[#This Row],['# tom green]]+Tabel157[[#This Row],['#tom red]]</f>
        <v>35</v>
      </c>
      <c r="E12" s="3">
        <v>11</v>
      </c>
      <c r="F12" s="3">
        <v>38.92</v>
      </c>
      <c r="G12" s="3">
        <v>24</v>
      </c>
      <c r="H12" s="3">
        <v>154.09</v>
      </c>
      <c r="I12" s="2">
        <v>9</v>
      </c>
      <c r="N12" s="9"/>
    </row>
    <row r="13" spans="1:14" x14ac:dyDescent="0.2">
      <c r="A13" s="8">
        <v>307</v>
      </c>
      <c r="B13" s="4" t="s">
        <v>111</v>
      </c>
      <c r="C13" s="4">
        <f t="shared" si="0"/>
        <v>189.08</v>
      </c>
      <c r="D13" s="11">
        <f>Tabel157[[#This Row],['# tom green]]+Tabel157[[#This Row],['#tom red]]</f>
        <v>44</v>
      </c>
      <c r="E13" s="3">
        <v>22</v>
      </c>
      <c r="F13" s="3">
        <v>59.59</v>
      </c>
      <c r="G13" s="3">
        <v>22</v>
      </c>
      <c r="H13" s="3">
        <v>129.49</v>
      </c>
      <c r="I13" s="2">
        <v>13</v>
      </c>
      <c r="N13" s="9"/>
    </row>
    <row r="14" spans="1:14" x14ac:dyDescent="0.2">
      <c r="A14" s="8">
        <v>307</v>
      </c>
      <c r="B14" s="4" t="s">
        <v>112</v>
      </c>
      <c r="C14" s="4">
        <f t="shared" si="0"/>
        <v>183.29000000000002</v>
      </c>
      <c r="D14" s="11">
        <f>Tabel157[[#This Row],['# tom green]]+Tabel157[[#This Row],['#tom red]]</f>
        <v>34</v>
      </c>
      <c r="E14" s="3">
        <v>8</v>
      </c>
      <c r="F14" s="3">
        <v>25.17</v>
      </c>
      <c r="G14" s="3">
        <v>26</v>
      </c>
      <c r="H14" s="3">
        <v>158.12</v>
      </c>
      <c r="I14" s="2">
        <v>10</v>
      </c>
      <c r="N14" s="9"/>
    </row>
    <row r="15" spans="1:14" x14ac:dyDescent="0.2">
      <c r="A15" s="8">
        <v>307</v>
      </c>
      <c r="B15" s="4" t="s">
        <v>113</v>
      </c>
      <c r="C15" s="4">
        <f t="shared" si="0"/>
        <v>229.96</v>
      </c>
      <c r="D15" s="11">
        <f>Tabel157[[#This Row],['# tom green]]+Tabel157[[#This Row],['#tom red]]</f>
        <v>39</v>
      </c>
      <c r="E15" s="3">
        <v>9</v>
      </c>
      <c r="F15" s="3">
        <v>29.93</v>
      </c>
      <c r="G15" s="3">
        <v>30</v>
      </c>
      <c r="H15" s="3">
        <v>200.03</v>
      </c>
      <c r="I15" s="2">
        <v>8</v>
      </c>
      <c r="N15" s="9"/>
    </row>
    <row r="16" spans="1:14" x14ac:dyDescent="0.2">
      <c r="A16" s="8">
        <v>307</v>
      </c>
      <c r="B16" s="4" t="s">
        <v>114</v>
      </c>
      <c r="C16" s="4">
        <f t="shared" si="0"/>
        <v>382.03999999999996</v>
      </c>
      <c r="D16" s="11">
        <f>Tabel157[[#This Row],['# tom green]]+Tabel157[[#This Row],['#tom red]]</f>
        <v>64</v>
      </c>
      <c r="E16" s="3">
        <v>15</v>
      </c>
      <c r="F16" s="3">
        <v>68.650000000000006</v>
      </c>
      <c r="G16" s="3">
        <v>49</v>
      </c>
      <c r="H16" s="3">
        <v>313.39</v>
      </c>
      <c r="I16" s="2">
        <v>14</v>
      </c>
      <c r="N16" s="9"/>
    </row>
    <row r="17" spans="1:14" x14ac:dyDescent="0.2">
      <c r="A17" s="8">
        <v>307</v>
      </c>
      <c r="B17" s="4" t="s">
        <v>115</v>
      </c>
      <c r="C17" s="4">
        <f t="shared" si="0"/>
        <v>387.79</v>
      </c>
      <c r="D17" s="11">
        <f>Tabel157[[#This Row],['# tom green]]+Tabel157[[#This Row],['#tom red]]</f>
        <v>72</v>
      </c>
      <c r="E17" s="3">
        <v>36</v>
      </c>
      <c r="F17" s="3">
        <v>120.31</v>
      </c>
      <c r="G17" s="3">
        <v>36</v>
      </c>
      <c r="H17" s="3">
        <v>267.48</v>
      </c>
      <c r="I17" s="2">
        <v>5</v>
      </c>
      <c r="N17" s="9"/>
    </row>
    <row r="18" spans="1:14" x14ac:dyDescent="0.2">
      <c r="A18" s="8">
        <v>307</v>
      </c>
      <c r="B18" s="4" t="s">
        <v>116</v>
      </c>
      <c r="C18" s="4">
        <f t="shared" si="0"/>
        <v>295.39999999999998</v>
      </c>
      <c r="D18" s="11">
        <f>Tabel157[[#This Row],['# tom green]]+Tabel157[[#This Row],['#tom red]]</f>
        <v>52</v>
      </c>
      <c r="E18" s="3">
        <v>18</v>
      </c>
      <c r="F18" s="3">
        <v>48.76</v>
      </c>
      <c r="G18" s="3">
        <v>34</v>
      </c>
      <c r="H18" s="3">
        <v>246.64</v>
      </c>
      <c r="I18" s="2">
        <v>8</v>
      </c>
      <c r="N18" s="9"/>
    </row>
    <row r="19" spans="1:14" x14ac:dyDescent="0.2">
      <c r="A19" s="8">
        <v>307</v>
      </c>
      <c r="B19" s="4" t="s">
        <v>117</v>
      </c>
      <c r="C19" s="4">
        <f t="shared" si="0"/>
        <v>330.5</v>
      </c>
      <c r="D19" s="11">
        <f>Tabel157[[#This Row],['# tom green]]+Tabel157[[#This Row],['#tom red]]</f>
        <v>49</v>
      </c>
      <c r="E19" s="3">
        <v>15</v>
      </c>
      <c r="F19" s="3">
        <v>74.23</v>
      </c>
      <c r="G19" s="3">
        <v>34</v>
      </c>
      <c r="H19" s="3">
        <v>256.27</v>
      </c>
      <c r="I19" s="2">
        <v>4</v>
      </c>
      <c r="N19" s="9"/>
    </row>
    <row r="20" spans="1:14" x14ac:dyDescent="0.2">
      <c r="A20" s="8">
        <v>307</v>
      </c>
      <c r="B20" s="4" t="s">
        <v>118</v>
      </c>
      <c r="C20" s="4">
        <f t="shared" si="0"/>
        <v>217.14</v>
      </c>
      <c r="D20" s="11">
        <f>Tabel157[[#This Row],['# tom green]]+Tabel157[[#This Row],['#tom red]]</f>
        <v>32</v>
      </c>
      <c r="E20" s="3">
        <v>16</v>
      </c>
      <c r="F20" s="3">
        <v>86.63</v>
      </c>
      <c r="G20" s="3">
        <v>16</v>
      </c>
      <c r="H20" s="3">
        <v>130.51</v>
      </c>
      <c r="I20" s="2">
        <v>1</v>
      </c>
      <c r="N20" s="9"/>
    </row>
    <row r="21" spans="1:14" x14ac:dyDescent="0.2">
      <c r="A21" s="8">
        <v>307</v>
      </c>
      <c r="B21" s="4" t="s">
        <v>119</v>
      </c>
      <c r="C21" s="4">
        <f t="shared" si="0"/>
        <v>336.36</v>
      </c>
      <c r="D21" s="11">
        <f>Tabel157[[#This Row],['# tom green]]+Tabel157[[#This Row],['#tom red]]</f>
        <v>53</v>
      </c>
      <c r="E21" s="3">
        <v>19</v>
      </c>
      <c r="F21" s="3">
        <v>69.47</v>
      </c>
      <c r="G21" s="3">
        <v>34</v>
      </c>
      <c r="H21" s="3">
        <v>266.89</v>
      </c>
      <c r="I21" s="2">
        <v>4</v>
      </c>
      <c r="N21" s="9"/>
    </row>
    <row r="22" spans="1:14" x14ac:dyDescent="0.2">
      <c r="A22" s="8">
        <v>307</v>
      </c>
      <c r="B22" s="4" t="s">
        <v>120</v>
      </c>
      <c r="C22" s="4">
        <f t="shared" si="0"/>
        <v>337.77000000000004</v>
      </c>
      <c r="D22" s="11">
        <f>Tabel157[[#This Row],['# tom green]]+Tabel157[[#This Row],['#tom red]]</f>
        <v>49</v>
      </c>
      <c r="E22" s="3">
        <v>9</v>
      </c>
      <c r="F22" s="3">
        <v>38.92</v>
      </c>
      <c r="G22" s="3">
        <v>40</v>
      </c>
      <c r="H22" s="3">
        <v>298.85000000000002</v>
      </c>
      <c r="I22" s="2">
        <v>7</v>
      </c>
      <c r="N22" s="9"/>
    </row>
    <row r="23" spans="1:14" x14ac:dyDescent="0.2">
      <c r="A23" s="8">
        <v>307</v>
      </c>
      <c r="B23" s="4" t="s">
        <v>121</v>
      </c>
      <c r="C23" s="4">
        <f t="shared" si="0"/>
        <v>232.31</v>
      </c>
      <c r="D23" s="11">
        <f>Tabel157[[#This Row],['# tom green]]+Tabel157[[#This Row],['#tom red]]</f>
        <v>44</v>
      </c>
      <c r="E23" s="3">
        <v>18</v>
      </c>
      <c r="F23" s="3">
        <v>75.75</v>
      </c>
      <c r="G23" s="3">
        <v>26</v>
      </c>
      <c r="H23" s="3">
        <v>156.56</v>
      </c>
      <c r="I23" s="2">
        <v>11</v>
      </c>
      <c r="N23" s="9"/>
    </row>
    <row r="24" spans="1:14" x14ac:dyDescent="0.2">
      <c r="A24" s="8">
        <v>307</v>
      </c>
      <c r="B24" s="4" t="s">
        <v>122</v>
      </c>
      <c r="C24" s="4">
        <f t="shared" si="0"/>
        <v>347.76</v>
      </c>
      <c r="D24" s="11">
        <f>Tabel157[[#This Row],['# tom green]]+Tabel157[[#This Row],['#tom red]]</f>
        <v>46</v>
      </c>
      <c r="E24" s="3">
        <v>9</v>
      </c>
      <c r="F24" s="3">
        <v>51.56</v>
      </c>
      <c r="G24" s="3">
        <v>37</v>
      </c>
      <c r="H24" s="3">
        <v>296.2</v>
      </c>
      <c r="I24" s="2">
        <v>4</v>
      </c>
      <c r="N24" s="9"/>
    </row>
    <row r="25" spans="1:14" x14ac:dyDescent="0.2">
      <c r="A25" s="8">
        <v>307</v>
      </c>
      <c r="B25" s="4" t="s">
        <v>123</v>
      </c>
      <c r="C25" s="4">
        <f t="shared" si="0"/>
        <v>242.16</v>
      </c>
      <c r="D25" s="11">
        <f>Tabel157[[#This Row],['# tom green]]+Tabel157[[#This Row],['#tom red]]</f>
        <v>36</v>
      </c>
      <c r="E25" s="3">
        <v>8</v>
      </c>
      <c r="F25" s="3">
        <v>39.619999999999997</v>
      </c>
      <c r="G25" s="3">
        <v>28</v>
      </c>
      <c r="H25" s="3">
        <v>202.54</v>
      </c>
      <c r="I25" s="2">
        <v>5</v>
      </c>
      <c r="N25" s="9"/>
    </row>
    <row r="26" spans="1:14" x14ac:dyDescent="0.2">
      <c r="A26" s="8">
        <v>307</v>
      </c>
      <c r="B26" s="4" t="s">
        <v>59</v>
      </c>
      <c r="C26" s="4">
        <f t="shared" si="0"/>
        <v>197.93</v>
      </c>
      <c r="D26" s="11">
        <f>Tabel157[[#This Row],['# tom green]]+Tabel157[[#This Row],['#tom red]]</f>
        <v>45</v>
      </c>
      <c r="E26" s="3">
        <v>21</v>
      </c>
      <c r="F26" s="3">
        <v>82.98</v>
      </c>
      <c r="G26" s="3">
        <v>24</v>
      </c>
      <c r="H26" s="3">
        <v>114.95</v>
      </c>
      <c r="I26" s="2">
        <v>23</v>
      </c>
      <c r="N26" s="9"/>
    </row>
    <row r="27" spans="1:14" x14ac:dyDescent="0.2">
      <c r="A27" s="8">
        <v>307</v>
      </c>
      <c r="B27" s="4" t="s">
        <v>60</v>
      </c>
      <c r="C27" s="4">
        <f t="shared" si="0"/>
        <v>229.07999999999998</v>
      </c>
      <c r="D27" s="11">
        <f>Tabel157[[#This Row],['# tom green]]+Tabel157[[#This Row],['#tom red]]</f>
        <v>34</v>
      </c>
      <c r="E27" s="3">
        <v>5</v>
      </c>
      <c r="F27" s="3">
        <v>13.1</v>
      </c>
      <c r="G27" s="3">
        <v>29</v>
      </c>
      <c r="H27" s="3">
        <v>215.98</v>
      </c>
      <c r="I27" s="2">
        <v>6</v>
      </c>
      <c r="N27" s="9"/>
    </row>
    <row r="28" spans="1:14" x14ac:dyDescent="0.2">
      <c r="A28" s="8">
        <v>307</v>
      </c>
      <c r="B28" s="4" t="s">
        <v>61</v>
      </c>
      <c r="C28" s="4">
        <f t="shared" si="0"/>
        <v>269.63</v>
      </c>
      <c r="D28" s="11">
        <f>Tabel157[[#This Row],['# tom green]]+Tabel157[[#This Row],['#tom red]]</f>
        <v>49</v>
      </c>
      <c r="E28" s="3">
        <v>15</v>
      </c>
      <c r="F28" s="3">
        <v>45.51</v>
      </c>
      <c r="G28" s="3">
        <v>34</v>
      </c>
      <c r="H28" s="3">
        <v>224.12</v>
      </c>
      <c r="I28" s="2">
        <v>13</v>
      </c>
      <c r="N28" s="9"/>
    </row>
    <row r="29" spans="1:14" x14ac:dyDescent="0.2">
      <c r="A29" s="8">
        <v>307</v>
      </c>
      <c r="B29" s="4" t="s">
        <v>62</v>
      </c>
      <c r="C29" s="4">
        <f t="shared" si="0"/>
        <v>233.22</v>
      </c>
      <c r="D29" s="11">
        <f>Tabel157[[#This Row],['# tom green]]+Tabel157[[#This Row],['#tom red]]</f>
        <v>43</v>
      </c>
      <c r="E29" s="3">
        <v>22</v>
      </c>
      <c r="F29" s="3">
        <v>99</v>
      </c>
      <c r="G29" s="3">
        <v>21</v>
      </c>
      <c r="H29" s="3">
        <v>134.22</v>
      </c>
      <c r="I29" s="2">
        <v>8</v>
      </c>
      <c r="N29" s="9"/>
    </row>
    <row r="30" spans="1:14" x14ac:dyDescent="0.2">
      <c r="A30" s="8">
        <v>307</v>
      </c>
      <c r="B30" s="4" t="s">
        <v>63</v>
      </c>
      <c r="C30" s="4">
        <f t="shared" si="0"/>
        <v>230.56</v>
      </c>
      <c r="D30" s="11">
        <f>Tabel157[[#This Row],['# tom green]]+Tabel157[[#This Row],['#tom red]]</f>
        <v>37</v>
      </c>
      <c r="E30" s="3">
        <v>3</v>
      </c>
      <c r="F30" s="3">
        <v>15.59</v>
      </c>
      <c r="G30" s="3">
        <v>34</v>
      </c>
      <c r="H30" s="3">
        <v>214.97</v>
      </c>
      <c r="I30" s="2">
        <v>14</v>
      </c>
      <c r="N30" s="9"/>
    </row>
    <row r="31" spans="1:14" x14ac:dyDescent="0.2">
      <c r="A31" s="35">
        <v>307</v>
      </c>
      <c r="B31" s="34" t="s">
        <v>64</v>
      </c>
      <c r="C31" s="4">
        <f>SUM(F31,H31)</f>
        <v>232.54</v>
      </c>
      <c r="D31" s="11">
        <f>Tabel157[[#This Row],['# tom green]]+Tabel157[[#This Row],['#tom red]]</f>
        <v>39</v>
      </c>
      <c r="E31" s="3">
        <v>13</v>
      </c>
      <c r="F31" s="3">
        <v>56.03</v>
      </c>
      <c r="G31" s="3">
        <v>26</v>
      </c>
      <c r="H31" s="3">
        <v>176.51</v>
      </c>
      <c r="I31" s="2">
        <v>4</v>
      </c>
      <c r="N31" s="9"/>
    </row>
    <row r="32" spans="1:14" x14ac:dyDescent="0.2">
      <c r="A32" s="35">
        <v>307</v>
      </c>
      <c r="B32" s="34" t="s">
        <v>124</v>
      </c>
      <c r="C32" s="4"/>
      <c r="D32" s="11">
        <f>Tabel157[[#This Row],['# tom green]]+Tabel157[[#This Row],['#tom red]]</f>
        <v>0</v>
      </c>
      <c r="E32" s="3"/>
      <c r="F32" s="3"/>
      <c r="G32" s="3"/>
      <c r="H32" s="3">
        <v>312.86</v>
      </c>
      <c r="I32" s="2"/>
      <c r="N32" s="9"/>
    </row>
    <row r="33" spans="1:14" x14ac:dyDescent="0.2">
      <c r="A33" s="35">
        <v>307</v>
      </c>
      <c r="B33" s="34" t="s">
        <v>125</v>
      </c>
      <c r="C33" s="4"/>
      <c r="D33" s="11">
        <f>Tabel157[[#This Row],['# tom green]]+Tabel157[[#This Row],['#tom red]]</f>
        <v>0</v>
      </c>
      <c r="E33" s="3"/>
      <c r="F33" s="3"/>
      <c r="G33" s="3"/>
      <c r="H33" s="3">
        <v>300.12</v>
      </c>
      <c r="I33" s="2"/>
      <c r="N33" s="9"/>
    </row>
    <row r="34" spans="1:14" x14ac:dyDescent="0.2">
      <c r="A34" s="35">
        <v>307</v>
      </c>
      <c r="B34" s="34" t="s">
        <v>126</v>
      </c>
      <c r="C34" s="4"/>
      <c r="D34" s="11">
        <f>Tabel157[[#This Row],['# tom green]]+Tabel157[[#This Row],['#tom red]]</f>
        <v>0</v>
      </c>
      <c r="E34" s="3"/>
      <c r="F34" s="3"/>
      <c r="G34" s="3"/>
      <c r="H34" s="3">
        <v>311.75</v>
      </c>
      <c r="I34" s="2"/>
      <c r="N34" s="9"/>
    </row>
    <row r="35" spans="1:14" x14ac:dyDescent="0.2">
      <c r="A35" s="35">
        <v>307</v>
      </c>
      <c r="B35" s="34" t="s">
        <v>127</v>
      </c>
      <c r="C35" s="4"/>
      <c r="D35" s="11">
        <f>Tabel157[[#This Row],['# tom green]]+Tabel157[[#This Row],['#tom red]]</f>
        <v>0</v>
      </c>
      <c r="E35" s="3"/>
      <c r="F35" s="3"/>
      <c r="G35" s="3"/>
      <c r="H35" s="3">
        <v>305.22000000000003</v>
      </c>
      <c r="I35" s="2"/>
      <c r="N35" s="9"/>
    </row>
    <row r="36" spans="1:14" x14ac:dyDescent="0.2">
      <c r="A36" s="35">
        <v>307</v>
      </c>
      <c r="B36" s="34" t="s">
        <v>128</v>
      </c>
      <c r="C36" s="4"/>
      <c r="D36" s="11">
        <f>Tabel157[[#This Row],['# tom green]]+Tabel157[[#This Row],['#tom red]]</f>
        <v>0</v>
      </c>
      <c r="E36" s="3"/>
      <c r="F36" s="3"/>
      <c r="G36" s="3"/>
      <c r="H36" s="3">
        <v>181.59</v>
      </c>
      <c r="I36" s="2"/>
      <c r="N36" s="9"/>
    </row>
    <row r="37" spans="1:14" x14ac:dyDescent="0.2">
      <c r="A37" s="35">
        <v>307</v>
      </c>
      <c r="B37" s="34" t="s">
        <v>129</v>
      </c>
      <c r="C37" s="4"/>
      <c r="D37" s="11">
        <f>Tabel157[[#This Row],['# tom green]]+Tabel157[[#This Row],['#tom red]]</f>
        <v>0</v>
      </c>
      <c r="E37" s="3"/>
      <c r="F37" s="3"/>
      <c r="G37" s="3"/>
      <c r="H37" s="3">
        <v>182.32</v>
      </c>
      <c r="I37" s="2"/>
      <c r="N37" s="9"/>
    </row>
    <row r="38" spans="1:14" x14ac:dyDescent="0.2">
      <c r="A38" s="35">
        <v>307</v>
      </c>
      <c r="B38" s="34" t="s">
        <v>130</v>
      </c>
      <c r="C38" s="4"/>
      <c r="D38" s="11">
        <f>Tabel157[[#This Row],['# tom green]]+Tabel157[[#This Row],['#tom red]]</f>
        <v>0</v>
      </c>
      <c r="E38" s="3"/>
      <c r="F38" s="3"/>
      <c r="G38" s="3"/>
      <c r="H38" s="3">
        <v>133.22</v>
      </c>
      <c r="I38" s="2"/>
      <c r="N38" s="9"/>
    </row>
    <row r="39" spans="1:14" x14ac:dyDescent="0.2">
      <c r="A39" s="35">
        <v>307</v>
      </c>
      <c r="B39" s="34" t="s">
        <v>131</v>
      </c>
      <c r="C39" s="4"/>
      <c r="D39" s="11">
        <f>Tabel157[[#This Row],['# tom green]]+Tabel157[[#This Row],['#tom red]]</f>
        <v>0</v>
      </c>
      <c r="E39" s="3"/>
      <c r="F39" s="3"/>
      <c r="G39" s="3"/>
      <c r="H39" s="3">
        <v>182.21</v>
      </c>
      <c r="I39" s="2"/>
      <c r="N39" s="9"/>
    </row>
    <row r="40" spans="1:14" x14ac:dyDescent="0.2">
      <c r="A40" s="35">
        <v>307</v>
      </c>
      <c r="B40" s="34" t="s">
        <v>132</v>
      </c>
      <c r="C40" s="4"/>
      <c r="D40" s="11">
        <f>Tabel157[[#This Row],['# tom green]]+Tabel157[[#This Row],['#tom red]]</f>
        <v>0</v>
      </c>
      <c r="E40" s="3"/>
      <c r="F40" s="3"/>
      <c r="G40" s="3"/>
      <c r="H40" s="3">
        <v>120.91</v>
      </c>
      <c r="I40" s="2"/>
      <c r="N40" s="9"/>
    </row>
    <row r="41" spans="1:14" x14ac:dyDescent="0.2">
      <c r="A41" s="35">
        <v>307</v>
      </c>
      <c r="B41" s="34" t="s">
        <v>133</v>
      </c>
      <c r="C41" s="4"/>
      <c r="D41" s="11">
        <f>Tabel157[[#This Row],['# tom green]]+Tabel157[[#This Row],['#tom red]]</f>
        <v>0</v>
      </c>
      <c r="E41" s="3"/>
      <c r="F41" s="3"/>
      <c r="G41" s="3"/>
      <c r="H41" s="3">
        <v>168.01</v>
      </c>
      <c r="I41" s="2"/>
      <c r="N41" s="9"/>
    </row>
    <row r="42" spans="1:14" x14ac:dyDescent="0.2">
      <c r="A42" s="35">
        <v>307</v>
      </c>
      <c r="B42" s="34" t="s">
        <v>134</v>
      </c>
      <c r="C42" s="4"/>
      <c r="D42" s="11">
        <f>Tabel157[[#This Row],['# tom green]]+Tabel157[[#This Row],['#tom red]]</f>
        <v>0</v>
      </c>
      <c r="E42" s="3"/>
      <c r="F42" s="3"/>
      <c r="G42" s="3"/>
      <c r="H42" s="3">
        <v>256.77999999999997</v>
      </c>
      <c r="I42" s="2"/>
      <c r="N42" s="9"/>
    </row>
    <row r="43" spans="1:14" x14ac:dyDescent="0.2">
      <c r="A43" s="35">
        <v>307</v>
      </c>
      <c r="B43" s="34" t="s">
        <v>135</v>
      </c>
      <c r="C43" s="4"/>
      <c r="D43" s="11">
        <f>Tabel157[[#This Row],['# tom green]]+Tabel157[[#This Row],['#tom red]]</f>
        <v>0</v>
      </c>
      <c r="E43" s="3"/>
      <c r="F43" s="3"/>
      <c r="G43" s="3"/>
      <c r="H43" s="3">
        <v>240.31</v>
      </c>
      <c r="I43" s="2"/>
      <c r="N43" s="9"/>
    </row>
    <row r="44" spans="1:14" x14ac:dyDescent="0.2">
      <c r="A44" s="35">
        <v>307</v>
      </c>
      <c r="B44" s="34" t="s">
        <v>136</v>
      </c>
      <c r="C44" s="4"/>
      <c r="D44" s="11">
        <f>Tabel157[[#This Row],['# tom green]]+Tabel157[[#This Row],['#tom red]]</f>
        <v>0</v>
      </c>
      <c r="E44" s="3"/>
      <c r="F44" s="3"/>
      <c r="G44" s="3"/>
      <c r="H44" s="3">
        <v>246.57</v>
      </c>
      <c r="I44" s="2"/>
      <c r="N44" s="9"/>
    </row>
    <row r="45" spans="1:14" x14ac:dyDescent="0.2">
      <c r="A45" s="35">
        <v>307</v>
      </c>
      <c r="B45" s="34" t="s">
        <v>137</v>
      </c>
      <c r="C45" s="4"/>
      <c r="D45" s="11">
        <f>Tabel157[[#This Row],['# tom green]]+Tabel157[[#This Row],['#tom red]]</f>
        <v>0</v>
      </c>
      <c r="E45" s="3"/>
      <c r="F45" s="3"/>
      <c r="G45" s="3"/>
      <c r="H45" s="3">
        <v>258.3</v>
      </c>
      <c r="I45" s="2"/>
      <c r="N45" s="9"/>
    </row>
    <row r="46" spans="1:14" x14ac:dyDescent="0.2">
      <c r="A46" s="35">
        <v>307</v>
      </c>
      <c r="B46" s="34" t="s">
        <v>138</v>
      </c>
      <c r="C46" s="4"/>
      <c r="D46" s="11">
        <f>Tabel157[[#This Row],['# tom green]]+Tabel157[[#This Row],['#tom red]]</f>
        <v>0</v>
      </c>
      <c r="E46" s="3"/>
      <c r="F46" s="3"/>
      <c r="G46" s="3"/>
      <c r="H46" s="3">
        <v>250.37</v>
      </c>
      <c r="I46" s="2"/>
      <c r="N46" s="9"/>
    </row>
    <row r="47" spans="1:14" x14ac:dyDescent="0.2">
      <c r="A47" s="35">
        <v>307</v>
      </c>
      <c r="B47" s="34" t="s">
        <v>139</v>
      </c>
      <c r="C47" s="4"/>
      <c r="D47" s="11">
        <f>Tabel157[[#This Row],['# tom green]]+Tabel157[[#This Row],['#tom red]]</f>
        <v>0</v>
      </c>
      <c r="E47" s="3"/>
      <c r="F47" s="3"/>
      <c r="G47" s="3"/>
      <c r="H47" s="3">
        <v>263.39999999999998</v>
      </c>
      <c r="I47" s="2"/>
      <c r="N47" s="9"/>
    </row>
    <row r="48" spans="1:14" x14ac:dyDescent="0.2">
      <c r="A48" s="35">
        <v>307</v>
      </c>
      <c r="B48" s="34" t="s">
        <v>140</v>
      </c>
      <c r="C48" s="4"/>
      <c r="D48" s="11">
        <f>Tabel157[[#This Row],['# tom green]]+Tabel157[[#This Row],['#tom red]]</f>
        <v>0</v>
      </c>
      <c r="E48" s="3"/>
      <c r="F48" s="3"/>
      <c r="G48" s="3"/>
      <c r="H48" s="3">
        <v>319.303</v>
      </c>
      <c r="I48" s="2"/>
      <c r="N48" s="9"/>
    </row>
    <row r="49" spans="1:14" x14ac:dyDescent="0.2">
      <c r="A49" s="35">
        <v>307</v>
      </c>
      <c r="B49" s="34" t="s">
        <v>141</v>
      </c>
      <c r="C49" s="4"/>
      <c r="D49" s="11">
        <f>Tabel157[[#This Row],['# tom green]]+Tabel157[[#This Row],['#tom red]]</f>
        <v>0</v>
      </c>
      <c r="E49" s="3"/>
      <c r="F49" s="3"/>
      <c r="G49" s="3"/>
      <c r="H49" s="3">
        <v>320.04000000000002</v>
      </c>
      <c r="I49" s="2"/>
      <c r="N49" s="9"/>
    </row>
    <row r="50" spans="1:14" x14ac:dyDescent="0.2">
      <c r="A50" s="35">
        <v>307</v>
      </c>
      <c r="B50" s="34" t="s">
        <v>142</v>
      </c>
      <c r="C50" s="4"/>
      <c r="D50" s="11">
        <f>Tabel157[[#This Row],['# tom green]]+Tabel157[[#This Row],['#tom red]]</f>
        <v>0</v>
      </c>
      <c r="E50" s="3"/>
      <c r="F50" s="3"/>
      <c r="G50" s="3"/>
      <c r="H50" s="3">
        <v>171.41</v>
      </c>
      <c r="I50" s="2"/>
      <c r="N50" s="9"/>
    </row>
    <row r="51" spans="1:14" x14ac:dyDescent="0.2">
      <c r="A51" s="35">
        <v>307</v>
      </c>
      <c r="B51" s="34" t="s">
        <v>143</v>
      </c>
      <c r="C51" s="4"/>
      <c r="D51" s="11"/>
      <c r="E51" s="3"/>
      <c r="F51" s="3"/>
      <c r="G51" s="3"/>
      <c r="H51" s="3">
        <v>182.04</v>
      </c>
      <c r="I51" s="2"/>
      <c r="N51" s="9"/>
    </row>
    <row r="52" spans="1:14" ht="16" thickBot="1" x14ac:dyDescent="0.25">
      <c r="N52" t="s">
        <v>102</v>
      </c>
    </row>
    <row r="53" spans="1:14" ht="16" thickBot="1" x14ac:dyDescent="0.25">
      <c r="A53" s="55" t="s">
        <v>327</v>
      </c>
      <c r="B53" s="44"/>
      <c r="C53" s="55">
        <f>SUM(C2:C31)</f>
        <v>7692.7500000000018</v>
      </c>
      <c r="D53" s="55">
        <f>SUM(D2:D51)</f>
        <v>1282</v>
      </c>
      <c r="E53" s="44">
        <f>SUM(E2:E51)</f>
        <v>375</v>
      </c>
      <c r="F53" s="55">
        <f>SUM(F2:F51)</f>
        <v>1451.5399999999997</v>
      </c>
      <c r="G53" s="55">
        <f>SUM(G2:G51)</f>
        <v>907</v>
      </c>
      <c r="H53" s="45">
        <f>SUM(H2:H31)</f>
        <v>6241.2100000000009</v>
      </c>
      <c r="I53" s="55">
        <f>SUM(I2:I51)</f>
        <v>246</v>
      </c>
      <c r="J53" s="67">
        <f>I53/G53</f>
        <v>0.27122381477398017</v>
      </c>
      <c r="N53" s="54">
        <f>(H53/C53)*100</f>
        <v>81.131064963764572</v>
      </c>
    </row>
    <row r="54" spans="1:14" ht="16" thickBot="1" x14ac:dyDescent="0.25">
      <c r="A54" s="57" t="s">
        <v>329</v>
      </c>
      <c r="H54" s="57">
        <f>SUM(H2:H51)</f>
        <v>10947.943000000003</v>
      </c>
      <c r="N54" s="9"/>
    </row>
    <row r="55" spans="1:14" x14ac:dyDescent="0.2">
      <c r="A55" s="58" t="s">
        <v>328</v>
      </c>
      <c r="B55" s="36"/>
      <c r="C55" s="37"/>
      <c r="D55" s="38"/>
      <c r="E55" s="41">
        <f>(30*5)-4</f>
        <v>146</v>
      </c>
      <c r="F55" s="41">
        <v>536.14</v>
      </c>
      <c r="G55" s="41">
        <f>30*5</f>
        <v>150</v>
      </c>
      <c r="H55" s="41">
        <v>1072.75</v>
      </c>
      <c r="I55" s="37"/>
      <c r="J55" s="37"/>
      <c r="K55" s="79" t="s">
        <v>325</v>
      </c>
      <c r="L55" s="80"/>
    </row>
    <row r="56" spans="1:14" x14ac:dyDescent="0.2">
      <c r="A56" s="57"/>
      <c r="B56" s="40"/>
      <c r="E56" s="2"/>
      <c r="F56" s="2">
        <v>41.25</v>
      </c>
      <c r="G56" s="2"/>
      <c r="H56" s="2">
        <v>72.59</v>
      </c>
      <c r="K56" s="81" t="s">
        <v>326</v>
      </c>
      <c r="L56" s="82"/>
    </row>
    <row r="57" spans="1:14" ht="16" thickBot="1" x14ac:dyDescent="0.25">
      <c r="A57" s="56"/>
      <c r="B57" s="39"/>
      <c r="C57" s="29"/>
      <c r="D57" s="53"/>
      <c r="E57" s="42"/>
      <c r="F57" s="43">
        <f>(F56/F55)*100</f>
        <v>7.6938859253180141</v>
      </c>
      <c r="G57" s="42"/>
      <c r="H57" s="43">
        <f>(H56/H55)*100</f>
        <v>6.7667210440456778</v>
      </c>
      <c r="I57" s="29"/>
      <c r="J57" s="29"/>
      <c r="K57" s="83" t="s">
        <v>323</v>
      </c>
      <c r="L57" s="84"/>
    </row>
    <row r="58" spans="1:14" ht="16" thickBot="1" x14ac:dyDescent="0.25">
      <c r="A58" s="55" t="s">
        <v>240</v>
      </c>
      <c r="B58" s="29"/>
      <c r="C58" s="29"/>
      <c r="D58" s="53"/>
      <c r="E58" s="29"/>
      <c r="F58" s="29"/>
      <c r="G58" s="29"/>
      <c r="H58" s="55">
        <f>AVERAGE(Tabel157[FW red])</f>
        <v>218.95886000000007</v>
      </c>
    </row>
    <row r="60" spans="1:14" x14ac:dyDescent="0.2">
      <c r="B60" s="70" t="s">
        <v>333</v>
      </c>
      <c r="C60" s="71">
        <f>AVERAGE(C2:C31)</f>
        <v>256.42500000000007</v>
      </c>
    </row>
    <row r="61" spans="1:14" x14ac:dyDescent="0.2">
      <c r="B61" s="59" t="s">
        <v>40</v>
      </c>
      <c r="C61" s="35">
        <f>_xlfn.STDEV.S(C2:C51)/(SQRT(COUNT(C2:C7)))</f>
        <v>26.000958089111268</v>
      </c>
    </row>
    <row r="62" spans="1:14" x14ac:dyDescent="0.2">
      <c r="B62" s="59"/>
      <c r="C62" s="35"/>
    </row>
    <row r="63" spans="1:14" x14ac:dyDescent="0.2">
      <c r="B63" s="59" t="s">
        <v>332</v>
      </c>
      <c r="C63" s="35">
        <f>AVERAGE(H2:H31)</f>
        <v>208.04033333333336</v>
      </c>
    </row>
    <row r="64" spans="1:14" x14ac:dyDescent="0.2">
      <c r="B64" s="72" t="s">
        <v>40</v>
      </c>
      <c r="C64" s="34">
        <f>_xlfn.STDEV.S(H2:H31)/(SQRT(COUNT(H2:H31)))</f>
        <v>11.141242192070631</v>
      </c>
    </row>
  </sheetData>
  <mergeCells count="3">
    <mergeCell ref="K55:L55"/>
    <mergeCell ref="K56:L56"/>
    <mergeCell ref="K57:L57"/>
  </mergeCells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10CFB-C749-4391-9FE1-65FD9060A9A6}">
  <dimension ref="A1:N64"/>
  <sheetViews>
    <sheetView topLeftCell="A30" workbookViewId="0">
      <selection activeCell="H57" sqref="H57"/>
    </sheetView>
  </sheetViews>
  <sheetFormatPr baseColWidth="10" defaultColWidth="8.83203125" defaultRowHeight="15" x14ac:dyDescent="0.2"/>
  <cols>
    <col min="4" max="4" width="9.1640625" style="13"/>
    <col min="5" max="5" width="13.6640625" customWidth="1"/>
    <col min="6" max="6" width="11.83203125" customWidth="1"/>
    <col min="7" max="8" width="13.83203125" customWidth="1"/>
  </cols>
  <sheetData>
    <row r="1" spans="1:9" ht="16" thickBot="1" x14ac:dyDescent="0.25">
      <c r="A1" s="33" t="s">
        <v>324</v>
      </c>
      <c r="B1" s="19" t="s">
        <v>0</v>
      </c>
      <c r="C1" s="20" t="s">
        <v>74</v>
      </c>
      <c r="D1" s="21" t="s">
        <v>101</v>
      </c>
      <c r="E1" s="22" t="s">
        <v>71</v>
      </c>
      <c r="F1" s="22" t="s">
        <v>79</v>
      </c>
      <c r="G1" s="24" t="s">
        <v>73</v>
      </c>
      <c r="H1" s="24" t="s">
        <v>78</v>
      </c>
      <c r="I1" s="52" t="s">
        <v>100</v>
      </c>
    </row>
    <row r="2" spans="1:9" x14ac:dyDescent="0.2">
      <c r="A2" s="8">
        <v>306</v>
      </c>
      <c r="B2" s="4" t="s">
        <v>21</v>
      </c>
      <c r="C2" s="4">
        <f>SUM(F2,H2)</f>
        <v>230.96999999999997</v>
      </c>
      <c r="D2" s="12">
        <f>Tabel15786[[#This Row],['# tom green]]+Tabel15786[[#This Row],['#tom red]]</f>
        <v>32</v>
      </c>
      <c r="E2" s="4">
        <v>10</v>
      </c>
      <c r="F2" s="4">
        <v>55.08</v>
      </c>
      <c r="G2" s="4">
        <v>22</v>
      </c>
      <c r="H2" s="4">
        <v>175.89</v>
      </c>
      <c r="I2" s="2">
        <v>3</v>
      </c>
    </row>
    <row r="3" spans="1:9" x14ac:dyDescent="0.2">
      <c r="A3" s="8">
        <v>306</v>
      </c>
      <c r="B3" s="4" t="s">
        <v>22</v>
      </c>
      <c r="C3" s="4">
        <f t="shared" ref="C3:C22" si="0">SUM(F3,H3)</f>
        <v>457.03</v>
      </c>
      <c r="D3" s="10">
        <f>Tabel15786[[#This Row],['# tom green]]+Tabel15786[[#This Row],['#tom red]]</f>
        <v>57</v>
      </c>
      <c r="E3" s="2">
        <v>24</v>
      </c>
      <c r="F3" s="2">
        <v>153.21</v>
      </c>
      <c r="G3" s="2">
        <v>33</v>
      </c>
      <c r="H3" s="2">
        <v>303.82</v>
      </c>
      <c r="I3" s="2">
        <v>3</v>
      </c>
    </row>
    <row r="4" spans="1:9" x14ac:dyDescent="0.2">
      <c r="A4" s="8">
        <v>306</v>
      </c>
      <c r="B4" s="4" t="s">
        <v>23</v>
      </c>
      <c r="C4" s="4">
        <f t="shared" si="0"/>
        <v>280.46999999999997</v>
      </c>
      <c r="D4" s="10">
        <f>Tabel15786[[#This Row],['# tom green]]+Tabel15786[[#This Row],['#tom red]]</f>
        <v>33</v>
      </c>
      <c r="E4" s="2">
        <v>5</v>
      </c>
      <c r="F4" s="2">
        <v>31.83</v>
      </c>
      <c r="G4" s="2">
        <v>28</v>
      </c>
      <c r="H4" s="2">
        <v>248.64</v>
      </c>
      <c r="I4" s="2">
        <v>2</v>
      </c>
    </row>
    <row r="5" spans="1:9" x14ac:dyDescent="0.2">
      <c r="A5" s="8">
        <v>306</v>
      </c>
      <c r="B5" s="4" t="s">
        <v>24</v>
      </c>
      <c r="C5" s="4">
        <f t="shared" si="0"/>
        <v>262.16000000000003</v>
      </c>
      <c r="D5" s="10">
        <f>Tabel15786[[#This Row],['# tom green]]+Tabel15786[[#This Row],['#tom red]]</f>
        <v>40</v>
      </c>
      <c r="E5" s="2">
        <v>9</v>
      </c>
      <c r="F5" s="2">
        <v>38.51</v>
      </c>
      <c r="G5" s="2">
        <v>31</v>
      </c>
      <c r="H5" s="2">
        <v>223.65</v>
      </c>
      <c r="I5" s="2">
        <v>6</v>
      </c>
    </row>
    <row r="6" spans="1:9" x14ac:dyDescent="0.2">
      <c r="A6" s="8">
        <v>306</v>
      </c>
      <c r="B6" s="4" t="s">
        <v>25</v>
      </c>
      <c r="C6" s="4">
        <f t="shared" si="0"/>
        <v>322.81</v>
      </c>
      <c r="D6" s="10">
        <f>Tabel15786[[#This Row],['# tom green]]+Tabel15786[[#This Row],['#tom red]]</f>
        <v>44</v>
      </c>
      <c r="E6" s="2">
        <v>11</v>
      </c>
      <c r="F6" s="2">
        <v>56.74</v>
      </c>
      <c r="G6" s="2">
        <v>33</v>
      </c>
      <c r="H6" s="2">
        <v>266.07</v>
      </c>
      <c r="I6" s="2">
        <v>2</v>
      </c>
    </row>
    <row r="7" spans="1:9" x14ac:dyDescent="0.2">
      <c r="A7" s="8">
        <v>306</v>
      </c>
      <c r="B7" s="4" t="s">
        <v>26</v>
      </c>
      <c r="C7" s="4">
        <f t="shared" si="0"/>
        <v>474.22</v>
      </c>
      <c r="D7" s="11">
        <f>Tabel15786[[#This Row],['# tom green]]+Tabel15786[[#This Row],['#tom red]]</f>
        <v>71</v>
      </c>
      <c r="E7" s="3">
        <v>38</v>
      </c>
      <c r="F7" s="3">
        <v>207.73</v>
      </c>
      <c r="G7" s="3">
        <v>33</v>
      </c>
      <c r="H7" s="3">
        <v>266.49</v>
      </c>
      <c r="I7" s="2">
        <v>2</v>
      </c>
    </row>
    <row r="8" spans="1:9" x14ac:dyDescent="0.2">
      <c r="A8" s="8">
        <v>306</v>
      </c>
      <c r="B8" s="4" t="s">
        <v>164</v>
      </c>
      <c r="C8" s="4">
        <f t="shared" si="0"/>
        <v>205.23</v>
      </c>
      <c r="D8" s="11">
        <f>Tabel15786[[#This Row],['# tom green]]+Tabel15786[[#This Row],['#tom red]]</f>
        <v>35</v>
      </c>
      <c r="E8" s="3">
        <v>12</v>
      </c>
      <c r="F8" s="3">
        <v>37.01</v>
      </c>
      <c r="G8" s="3">
        <v>23</v>
      </c>
      <c r="H8" s="3">
        <v>168.22</v>
      </c>
      <c r="I8" s="2">
        <v>6</v>
      </c>
    </row>
    <row r="9" spans="1:9" x14ac:dyDescent="0.2">
      <c r="A9" s="8">
        <v>306</v>
      </c>
      <c r="B9" s="4" t="s">
        <v>165</v>
      </c>
      <c r="C9" s="4">
        <f t="shared" si="0"/>
        <v>499.7</v>
      </c>
      <c r="D9" s="11">
        <f>Tabel15786[[#This Row],['# tom green]]+Tabel15786[[#This Row],['#tom red]]</f>
        <v>70</v>
      </c>
      <c r="E9" s="3">
        <v>29</v>
      </c>
      <c r="F9" s="3">
        <v>135.80000000000001</v>
      </c>
      <c r="G9" s="3">
        <v>41</v>
      </c>
      <c r="H9" s="3">
        <v>363.9</v>
      </c>
      <c r="I9" s="2"/>
    </row>
    <row r="10" spans="1:9" x14ac:dyDescent="0.2">
      <c r="A10" s="8">
        <v>306</v>
      </c>
      <c r="B10" s="4" t="s">
        <v>166</v>
      </c>
      <c r="C10" s="4">
        <f t="shared" si="0"/>
        <v>449.51</v>
      </c>
      <c r="D10" s="11">
        <f>Tabel15786[[#This Row],['# tom green]]+Tabel15786[[#This Row],['#tom red]]</f>
        <v>53</v>
      </c>
      <c r="E10" s="3">
        <v>12</v>
      </c>
      <c r="F10" s="3">
        <v>70.069999999999993</v>
      </c>
      <c r="G10" s="3">
        <v>41</v>
      </c>
      <c r="H10" s="3">
        <v>379.44</v>
      </c>
      <c r="I10" s="2"/>
    </row>
    <row r="11" spans="1:9" x14ac:dyDescent="0.2">
      <c r="A11" s="8">
        <v>306</v>
      </c>
      <c r="B11" s="4" t="s">
        <v>167</v>
      </c>
      <c r="C11" s="4">
        <f t="shared" si="0"/>
        <v>348.75</v>
      </c>
      <c r="D11" s="11">
        <f>Tabel15786[[#This Row],['# tom green]]+Tabel15786[[#This Row],['#tom red]]</f>
        <v>48</v>
      </c>
      <c r="E11" s="3">
        <v>7</v>
      </c>
      <c r="F11" s="3">
        <v>27.24</v>
      </c>
      <c r="G11" s="3">
        <v>41</v>
      </c>
      <c r="H11" s="3">
        <v>321.51</v>
      </c>
      <c r="I11" s="2">
        <v>7</v>
      </c>
    </row>
    <row r="12" spans="1:9" x14ac:dyDescent="0.2">
      <c r="A12" s="8">
        <v>306</v>
      </c>
      <c r="B12" s="4" t="s">
        <v>168</v>
      </c>
      <c r="C12" s="4">
        <f t="shared" si="0"/>
        <v>295.11</v>
      </c>
      <c r="D12" s="11">
        <f>Tabel15786[[#This Row],['# tom green]]+Tabel15786[[#This Row],['#tom red]]</f>
        <v>40</v>
      </c>
      <c r="E12" s="3">
        <v>12</v>
      </c>
      <c r="F12" s="3">
        <v>54.09</v>
      </c>
      <c r="G12" s="3">
        <v>28</v>
      </c>
      <c r="H12" s="3">
        <v>241.02</v>
      </c>
      <c r="I12" s="2"/>
    </row>
    <row r="13" spans="1:9" x14ac:dyDescent="0.2">
      <c r="A13" s="8">
        <v>306</v>
      </c>
      <c r="B13" s="4" t="s">
        <v>169</v>
      </c>
      <c r="C13" s="4">
        <f t="shared" si="0"/>
        <v>441.31</v>
      </c>
      <c r="D13" s="11">
        <f>Tabel15786[[#This Row],['# tom green]]+Tabel15786[[#This Row],['#tom red]]</f>
        <v>59</v>
      </c>
      <c r="E13" s="3">
        <v>26</v>
      </c>
      <c r="F13" s="3">
        <v>143.44999999999999</v>
      </c>
      <c r="G13" s="3">
        <v>33</v>
      </c>
      <c r="H13" s="3">
        <v>297.86</v>
      </c>
      <c r="I13" s="2"/>
    </row>
    <row r="14" spans="1:9" x14ac:dyDescent="0.2">
      <c r="A14" s="8">
        <v>306</v>
      </c>
      <c r="B14" s="4" t="s">
        <v>170</v>
      </c>
      <c r="C14" s="4">
        <f t="shared" si="0"/>
        <v>314.68</v>
      </c>
      <c r="D14" s="11">
        <f>Tabel15786[[#This Row],['# tom green]]+Tabel15786[[#This Row],['#tom red]]</f>
        <v>41</v>
      </c>
      <c r="E14" s="3">
        <v>11</v>
      </c>
      <c r="F14" s="3">
        <v>50.56</v>
      </c>
      <c r="G14" s="3">
        <v>30</v>
      </c>
      <c r="H14" s="3">
        <v>264.12</v>
      </c>
      <c r="I14" s="2">
        <v>1</v>
      </c>
    </row>
    <row r="15" spans="1:9" x14ac:dyDescent="0.2">
      <c r="A15" s="8">
        <v>306</v>
      </c>
      <c r="B15" s="4" t="s">
        <v>171</v>
      </c>
      <c r="C15" s="4">
        <f t="shared" si="0"/>
        <v>327.06</v>
      </c>
      <c r="D15" s="11">
        <f>Tabel15786[[#This Row],['# tom green]]+Tabel15786[[#This Row],['#tom red]]</f>
        <v>44</v>
      </c>
      <c r="E15" s="3">
        <v>14</v>
      </c>
      <c r="F15" s="3">
        <v>73.930000000000007</v>
      </c>
      <c r="G15" s="3">
        <v>30</v>
      </c>
      <c r="H15" s="3">
        <v>253.13</v>
      </c>
      <c r="I15" s="2"/>
    </row>
    <row r="16" spans="1:9" x14ac:dyDescent="0.2">
      <c r="A16" s="8">
        <v>306</v>
      </c>
      <c r="B16" s="4" t="s">
        <v>172</v>
      </c>
      <c r="C16" s="4">
        <f t="shared" si="0"/>
        <v>267.46000000000004</v>
      </c>
      <c r="D16" s="11">
        <f>Tabel15786[[#This Row],['# tom green]]+Tabel15786[[#This Row],['#tom red]]</f>
        <v>37</v>
      </c>
      <c r="E16" s="3">
        <v>15</v>
      </c>
      <c r="F16" s="3">
        <v>74.19</v>
      </c>
      <c r="G16" s="3">
        <v>22</v>
      </c>
      <c r="H16" s="3">
        <v>193.27</v>
      </c>
      <c r="I16" s="2"/>
    </row>
    <row r="17" spans="1:14" x14ac:dyDescent="0.2">
      <c r="A17" s="8">
        <v>306</v>
      </c>
      <c r="B17" s="4" t="s">
        <v>173</v>
      </c>
      <c r="C17" s="4">
        <f t="shared" si="0"/>
        <v>342.63</v>
      </c>
      <c r="D17" s="11">
        <f>Tabel15786[[#This Row],['# tom green]]+Tabel15786[[#This Row],['#tom red]]</f>
        <v>48</v>
      </c>
      <c r="E17" s="3">
        <v>11</v>
      </c>
      <c r="F17" s="3">
        <v>31.01</v>
      </c>
      <c r="G17" s="3">
        <v>37</v>
      </c>
      <c r="H17" s="3">
        <v>311.62</v>
      </c>
      <c r="I17" s="2">
        <v>3</v>
      </c>
    </row>
    <row r="18" spans="1:14" x14ac:dyDescent="0.2">
      <c r="A18" s="8">
        <v>306</v>
      </c>
      <c r="B18" s="4" t="s">
        <v>174</v>
      </c>
      <c r="C18" s="4">
        <f t="shared" si="0"/>
        <v>532.12</v>
      </c>
      <c r="D18" s="11">
        <f>Tabel15786[[#This Row],['# tom green]]+Tabel15786[[#This Row],['#tom red]]</f>
        <v>64</v>
      </c>
      <c r="E18" s="3">
        <v>18</v>
      </c>
      <c r="F18" s="3">
        <v>118.65</v>
      </c>
      <c r="G18" s="3">
        <v>46</v>
      </c>
      <c r="H18" s="3">
        <v>413.47</v>
      </c>
      <c r="I18" s="2"/>
    </row>
    <row r="19" spans="1:14" x14ac:dyDescent="0.2">
      <c r="A19" s="8">
        <v>306</v>
      </c>
      <c r="B19" s="4" t="s">
        <v>175</v>
      </c>
      <c r="C19" s="4">
        <f t="shared" si="0"/>
        <v>437.66</v>
      </c>
      <c r="D19" s="11">
        <f>Tabel15786[[#This Row],['# tom green]]+Tabel15786[[#This Row],['#tom red]]</f>
        <v>51</v>
      </c>
      <c r="E19" s="3">
        <v>13</v>
      </c>
      <c r="F19" s="3">
        <v>97.44</v>
      </c>
      <c r="G19" s="3">
        <v>38</v>
      </c>
      <c r="H19" s="3">
        <v>340.22</v>
      </c>
      <c r="I19" s="2">
        <v>1</v>
      </c>
    </row>
    <row r="20" spans="1:14" x14ac:dyDescent="0.2">
      <c r="A20" s="8">
        <v>306</v>
      </c>
      <c r="B20" s="4" t="s">
        <v>53</v>
      </c>
      <c r="C20" s="4">
        <f t="shared" si="0"/>
        <v>291.45999999999998</v>
      </c>
      <c r="D20" s="11">
        <f>Tabel15786[[#This Row],['# tom green]]+Tabel15786[[#This Row],['#tom red]]</f>
        <v>38</v>
      </c>
      <c r="E20" s="3">
        <v>8</v>
      </c>
      <c r="F20" s="3">
        <v>40.270000000000003</v>
      </c>
      <c r="G20" s="3">
        <v>30</v>
      </c>
      <c r="H20" s="3">
        <v>251.19</v>
      </c>
      <c r="I20" s="2"/>
    </row>
    <row r="21" spans="1:14" x14ac:dyDescent="0.2">
      <c r="A21" s="8">
        <v>306</v>
      </c>
      <c r="B21" s="4" t="s">
        <v>54</v>
      </c>
      <c r="C21" s="4">
        <f t="shared" si="0"/>
        <v>220.88</v>
      </c>
      <c r="D21" s="11">
        <f>Tabel15786[[#This Row],['# tom green]]+Tabel15786[[#This Row],['#tom red]]</f>
        <v>37</v>
      </c>
      <c r="E21" s="3">
        <v>10</v>
      </c>
      <c r="F21" s="3">
        <v>35.01</v>
      </c>
      <c r="G21" s="3">
        <v>27</v>
      </c>
      <c r="H21" s="3">
        <v>185.87</v>
      </c>
      <c r="I21" s="2">
        <v>6</v>
      </c>
    </row>
    <row r="22" spans="1:14" x14ac:dyDescent="0.2">
      <c r="A22" s="8">
        <v>306</v>
      </c>
      <c r="B22" s="4" t="s">
        <v>55</v>
      </c>
      <c r="C22" s="4">
        <f t="shared" si="0"/>
        <v>118.43</v>
      </c>
      <c r="D22" s="11">
        <f>Tabel15786[[#This Row],['# tom green]]+Tabel15786[[#This Row],['#tom red]]</f>
        <v>26</v>
      </c>
      <c r="E22" s="3">
        <v>7</v>
      </c>
      <c r="F22" s="3">
        <v>19.53</v>
      </c>
      <c r="G22" s="3">
        <v>19</v>
      </c>
      <c r="H22" s="3">
        <v>98.9</v>
      </c>
      <c r="I22" s="2"/>
    </row>
    <row r="23" spans="1:14" x14ac:dyDescent="0.2">
      <c r="A23" s="8">
        <v>306</v>
      </c>
      <c r="B23" s="4" t="s">
        <v>56</v>
      </c>
      <c r="C23" s="4"/>
      <c r="D23" s="11">
        <f>Tabel15786[[#This Row],['# tom green]]+Tabel15786[[#This Row],['#tom red]]</f>
        <v>0</v>
      </c>
      <c r="E23" s="3"/>
      <c r="F23" s="3"/>
      <c r="G23" s="3"/>
      <c r="H23" s="3">
        <v>372.24</v>
      </c>
      <c r="I23" s="2"/>
    </row>
    <row r="24" spans="1:14" x14ac:dyDescent="0.2">
      <c r="A24" s="8">
        <v>306</v>
      </c>
      <c r="B24" s="4" t="s">
        <v>57</v>
      </c>
      <c r="C24" s="4"/>
      <c r="D24" s="11">
        <f>Tabel15786[[#This Row],['# tom green]]+Tabel15786[[#This Row],['#tom red]]</f>
        <v>0</v>
      </c>
      <c r="E24" s="3"/>
      <c r="F24" s="3"/>
      <c r="G24" s="3"/>
      <c r="H24" s="3">
        <v>387.93</v>
      </c>
      <c r="I24" s="2"/>
    </row>
    <row r="25" spans="1:14" x14ac:dyDescent="0.2">
      <c r="A25" s="8">
        <v>306</v>
      </c>
      <c r="B25" s="4" t="s">
        <v>58</v>
      </c>
      <c r="C25" s="4"/>
      <c r="D25" s="11">
        <f>Tabel15786[[#This Row],['# tom green]]+Tabel15786[[#This Row],['#tom red]]</f>
        <v>0</v>
      </c>
      <c r="E25" s="3"/>
      <c r="F25" s="3"/>
      <c r="G25" s="3"/>
      <c r="H25" s="3">
        <v>182.2</v>
      </c>
      <c r="I25" s="2"/>
    </row>
    <row r="26" spans="1:14" x14ac:dyDescent="0.2">
      <c r="A26" s="8">
        <v>306</v>
      </c>
      <c r="B26" s="4" t="s">
        <v>176</v>
      </c>
      <c r="C26" s="4"/>
      <c r="D26" s="11">
        <f>Tabel15786[[#This Row],['# tom green]]+Tabel15786[[#This Row],['#tom red]]</f>
        <v>0</v>
      </c>
      <c r="E26" s="3"/>
      <c r="F26" s="3"/>
      <c r="G26" s="3"/>
      <c r="H26" s="3">
        <v>342.51</v>
      </c>
      <c r="I26" s="2"/>
    </row>
    <row r="27" spans="1:14" x14ac:dyDescent="0.2">
      <c r="A27" s="8">
        <v>306</v>
      </c>
      <c r="B27" s="4" t="s">
        <v>177</v>
      </c>
      <c r="C27" s="4"/>
      <c r="D27" s="11">
        <f>Tabel15786[[#This Row],['# tom green]]+Tabel15786[[#This Row],['#tom red]]</f>
        <v>0</v>
      </c>
      <c r="E27" s="3"/>
      <c r="F27" s="3"/>
      <c r="G27" s="3"/>
      <c r="H27" s="3">
        <v>291.70999999999998</v>
      </c>
      <c r="I27" s="2"/>
    </row>
    <row r="28" spans="1:14" x14ac:dyDescent="0.2">
      <c r="A28" s="8">
        <v>306</v>
      </c>
      <c r="B28" s="4" t="s">
        <v>178</v>
      </c>
      <c r="C28" s="4"/>
      <c r="D28" s="11">
        <f>Tabel15786[[#This Row],['# tom green]]+Tabel15786[[#This Row],['#tom red]]</f>
        <v>0</v>
      </c>
      <c r="E28" s="3"/>
      <c r="F28" s="3"/>
      <c r="G28" s="3"/>
      <c r="H28" s="3">
        <v>427</v>
      </c>
      <c r="I28" s="2"/>
    </row>
    <row r="29" spans="1:14" x14ac:dyDescent="0.2">
      <c r="A29" s="8">
        <v>306</v>
      </c>
      <c r="B29" s="4" t="s">
        <v>179</v>
      </c>
      <c r="C29" s="4"/>
      <c r="D29" s="11">
        <f>Tabel15786[[#This Row],['# tom green]]+Tabel15786[[#This Row],['#tom red]]</f>
        <v>0</v>
      </c>
      <c r="E29" s="3"/>
      <c r="F29" s="3"/>
      <c r="G29" s="3"/>
      <c r="H29" s="3">
        <v>237.65</v>
      </c>
      <c r="I29" s="2"/>
    </row>
    <row r="30" spans="1:14" x14ac:dyDescent="0.2">
      <c r="A30" s="8">
        <v>306</v>
      </c>
      <c r="B30" s="4" t="s">
        <v>180</v>
      </c>
      <c r="C30" s="4"/>
      <c r="D30" s="11">
        <f>Tabel15786[[#This Row],['# tom green]]+Tabel15786[[#This Row],['#tom red]]</f>
        <v>0</v>
      </c>
      <c r="E30" s="3"/>
      <c r="F30" s="3"/>
      <c r="G30" s="3"/>
      <c r="H30" s="3">
        <v>247.6</v>
      </c>
      <c r="I30" s="2"/>
      <c r="N30" s="9"/>
    </row>
    <row r="31" spans="1:14" x14ac:dyDescent="0.2">
      <c r="A31" s="8">
        <v>306</v>
      </c>
      <c r="B31" s="4" t="s">
        <v>181</v>
      </c>
      <c r="C31" s="4"/>
      <c r="D31" s="11">
        <f>Tabel15786[[#This Row],['# tom green]]+Tabel15786[[#This Row],['#tom red]]</f>
        <v>0</v>
      </c>
      <c r="E31" s="3"/>
      <c r="F31" s="3"/>
      <c r="G31" s="3"/>
      <c r="H31" s="3">
        <v>210.38</v>
      </c>
      <c r="I31" s="2"/>
      <c r="N31" s="9"/>
    </row>
    <row r="32" spans="1:14" x14ac:dyDescent="0.2">
      <c r="A32" s="8">
        <v>306</v>
      </c>
      <c r="B32" s="4" t="s">
        <v>182</v>
      </c>
      <c r="C32" s="4"/>
      <c r="D32" s="11">
        <f>Tabel15786[[#This Row],['# tom green]]+Tabel15786[[#This Row],['#tom red]]</f>
        <v>0</v>
      </c>
      <c r="E32" s="3"/>
      <c r="F32" s="3"/>
      <c r="G32" s="3"/>
      <c r="H32" s="3">
        <v>312.47000000000003</v>
      </c>
      <c r="I32" s="2"/>
      <c r="N32" s="9"/>
    </row>
    <row r="33" spans="1:14" x14ac:dyDescent="0.2">
      <c r="A33" s="8">
        <v>306</v>
      </c>
      <c r="B33" s="4" t="s">
        <v>183</v>
      </c>
      <c r="C33" s="4"/>
      <c r="D33" s="11">
        <f>Tabel15786[[#This Row],['# tom green]]+Tabel15786[[#This Row],['#tom red]]</f>
        <v>0</v>
      </c>
      <c r="E33" s="3"/>
      <c r="F33" s="3"/>
      <c r="G33" s="3"/>
      <c r="H33" s="3">
        <v>295.23</v>
      </c>
      <c r="I33" s="2"/>
      <c r="N33" s="9"/>
    </row>
    <row r="34" spans="1:14" x14ac:dyDescent="0.2">
      <c r="A34" s="8">
        <v>306</v>
      </c>
      <c r="B34" s="4" t="s">
        <v>184</v>
      </c>
      <c r="C34" s="4"/>
      <c r="D34" s="11">
        <f>Tabel15786[[#This Row],['# tom green]]+Tabel15786[[#This Row],['#tom red]]</f>
        <v>0</v>
      </c>
      <c r="E34" s="3"/>
      <c r="F34" s="3"/>
      <c r="G34" s="3"/>
      <c r="H34" s="3">
        <v>217.43</v>
      </c>
      <c r="I34" s="2"/>
      <c r="N34" s="9"/>
    </row>
    <row r="35" spans="1:14" x14ac:dyDescent="0.2">
      <c r="A35" s="8">
        <v>306</v>
      </c>
      <c r="B35" s="4" t="s">
        <v>185</v>
      </c>
      <c r="C35" s="4"/>
      <c r="D35" s="11">
        <f>Tabel15786[[#This Row],['# tom green]]+Tabel15786[[#This Row],['#tom red]]</f>
        <v>0</v>
      </c>
      <c r="E35" s="3"/>
      <c r="F35" s="3"/>
      <c r="G35" s="3"/>
      <c r="H35" s="3">
        <v>315.93</v>
      </c>
      <c r="I35" s="2"/>
      <c r="N35" s="9"/>
    </row>
    <row r="36" spans="1:14" x14ac:dyDescent="0.2">
      <c r="A36" s="8">
        <v>306</v>
      </c>
      <c r="B36" s="4" t="s">
        <v>186</v>
      </c>
      <c r="C36" s="4"/>
      <c r="D36" s="11">
        <f>Tabel15786[[#This Row],['# tom green]]+Tabel15786[[#This Row],['#tom red]]</f>
        <v>0</v>
      </c>
      <c r="E36" s="3"/>
      <c r="F36" s="3"/>
      <c r="G36" s="3"/>
      <c r="H36" s="3">
        <v>291.56</v>
      </c>
      <c r="I36" s="2"/>
      <c r="N36" s="9"/>
    </row>
    <row r="37" spans="1:14" x14ac:dyDescent="0.2">
      <c r="A37" s="8">
        <v>306</v>
      </c>
      <c r="B37" s="4" t="s">
        <v>187</v>
      </c>
      <c r="C37" s="4"/>
      <c r="D37" s="11">
        <f>Tabel15786[[#This Row],['# tom green]]+Tabel15786[[#This Row],['#tom red]]</f>
        <v>0</v>
      </c>
      <c r="E37" s="3"/>
      <c r="F37" s="3"/>
      <c r="G37" s="3"/>
      <c r="H37" s="3">
        <v>208.66</v>
      </c>
      <c r="I37" s="2"/>
      <c r="N37" s="9"/>
    </row>
    <row r="38" spans="1:14" x14ac:dyDescent="0.2">
      <c r="A38" s="8">
        <v>306</v>
      </c>
      <c r="B38" s="4" t="s">
        <v>188</v>
      </c>
      <c r="C38" s="4"/>
      <c r="D38" s="11">
        <f>Tabel15786[[#This Row],['# tom green]]+Tabel15786[[#This Row],['#tom red]]</f>
        <v>0</v>
      </c>
      <c r="E38" s="3"/>
      <c r="F38" s="3"/>
      <c r="G38" s="3"/>
      <c r="H38" s="3">
        <v>128.36000000000001</v>
      </c>
      <c r="I38" s="2"/>
      <c r="N38" s="9"/>
    </row>
    <row r="39" spans="1:14" x14ac:dyDescent="0.2">
      <c r="A39" s="8">
        <v>306</v>
      </c>
      <c r="B39" s="4" t="s">
        <v>189</v>
      </c>
      <c r="C39" s="4"/>
      <c r="D39" s="11">
        <f>Tabel15786[[#This Row],['# tom green]]+Tabel15786[[#This Row],['#tom red]]</f>
        <v>0</v>
      </c>
      <c r="E39" s="3"/>
      <c r="F39" s="3"/>
      <c r="G39" s="3"/>
      <c r="H39" s="3">
        <v>286.35000000000002</v>
      </c>
      <c r="I39" s="2"/>
      <c r="N39" s="9"/>
    </row>
    <row r="40" spans="1:14" x14ac:dyDescent="0.2">
      <c r="A40" s="8">
        <v>306</v>
      </c>
      <c r="B40" s="4" t="s">
        <v>190</v>
      </c>
      <c r="C40" s="4"/>
      <c r="D40" s="11">
        <f>Tabel15786[[#This Row],['# tom green]]+Tabel15786[[#This Row],['#tom red]]</f>
        <v>0</v>
      </c>
      <c r="E40" s="3"/>
      <c r="F40" s="3"/>
      <c r="G40" s="3"/>
      <c r="H40" s="3">
        <v>359.15</v>
      </c>
      <c r="I40" s="2"/>
      <c r="N40" s="9"/>
    </row>
    <row r="41" spans="1:14" x14ac:dyDescent="0.2">
      <c r="A41" s="8">
        <v>306</v>
      </c>
      <c r="B41" s="4" t="s">
        <v>191</v>
      </c>
      <c r="C41" s="4"/>
      <c r="D41" s="11">
        <f>Tabel15786[[#This Row],['# tom green]]+Tabel15786[[#This Row],['#tom red]]</f>
        <v>0</v>
      </c>
      <c r="E41" s="3"/>
      <c r="F41" s="3"/>
      <c r="G41" s="3"/>
      <c r="H41" s="3">
        <v>263.08999999999997</v>
      </c>
      <c r="I41" s="2"/>
      <c r="N41" s="9"/>
    </row>
    <row r="42" spans="1:14" x14ac:dyDescent="0.2">
      <c r="A42" s="8">
        <v>306</v>
      </c>
      <c r="B42" s="4" t="s">
        <v>192</v>
      </c>
      <c r="C42" s="4"/>
      <c r="D42" s="11">
        <f>Tabel15786[[#This Row],['# tom green]]+Tabel15786[[#This Row],['#tom red]]</f>
        <v>0</v>
      </c>
      <c r="E42" s="3"/>
      <c r="F42" s="3"/>
      <c r="G42" s="3"/>
      <c r="H42" s="3">
        <v>215.03</v>
      </c>
      <c r="I42" s="2"/>
      <c r="N42" s="9"/>
    </row>
    <row r="43" spans="1:14" x14ac:dyDescent="0.2">
      <c r="A43" s="8">
        <v>306</v>
      </c>
      <c r="B43" s="4" t="s">
        <v>193</v>
      </c>
      <c r="C43" s="4"/>
      <c r="D43" s="11">
        <f>Tabel15786[[#This Row],['# tom green]]+Tabel15786[[#This Row],['#tom red]]</f>
        <v>0</v>
      </c>
      <c r="E43" s="3"/>
      <c r="F43" s="3"/>
      <c r="G43" s="3"/>
      <c r="H43" s="3">
        <v>278.39999999999998</v>
      </c>
      <c r="I43" s="2"/>
      <c r="N43" s="9"/>
    </row>
    <row r="44" spans="1:14" x14ac:dyDescent="0.2">
      <c r="A44" s="8">
        <v>306</v>
      </c>
      <c r="B44" s="4" t="s">
        <v>194</v>
      </c>
      <c r="C44" s="4"/>
      <c r="D44" s="11">
        <f>Tabel15786[[#This Row],['# tom green]]+Tabel15786[[#This Row],['#tom red]]</f>
        <v>0</v>
      </c>
      <c r="E44" s="3"/>
      <c r="F44" s="3"/>
      <c r="G44" s="3"/>
      <c r="H44" s="3">
        <v>296.77</v>
      </c>
      <c r="I44" s="2"/>
      <c r="N44" s="9"/>
    </row>
    <row r="45" spans="1:14" x14ac:dyDescent="0.2">
      <c r="A45" s="8">
        <v>306</v>
      </c>
      <c r="B45" s="4" t="s">
        <v>195</v>
      </c>
      <c r="C45" s="4"/>
      <c r="D45" s="11">
        <f>Tabel15786[[#This Row],['# tom green]]+Tabel15786[[#This Row],['#tom red]]</f>
        <v>0</v>
      </c>
      <c r="E45" s="3"/>
      <c r="F45" s="3"/>
      <c r="G45" s="3"/>
      <c r="H45" s="3">
        <v>278.41000000000003</v>
      </c>
      <c r="I45" s="2"/>
      <c r="N45" s="9"/>
    </row>
    <row r="46" spans="1:14" x14ac:dyDescent="0.2">
      <c r="A46" s="8">
        <v>306</v>
      </c>
      <c r="B46" s="4" t="s">
        <v>196</v>
      </c>
      <c r="C46" s="4"/>
      <c r="D46" s="11">
        <f>Tabel15786[[#This Row],['# tom green]]+Tabel15786[[#This Row],['#tom red]]</f>
        <v>0</v>
      </c>
      <c r="E46" s="3"/>
      <c r="F46" s="3"/>
      <c r="G46" s="3"/>
      <c r="H46" s="3">
        <v>274.37</v>
      </c>
      <c r="I46" s="2"/>
      <c r="N46" s="9"/>
    </row>
    <row r="47" spans="1:14" x14ac:dyDescent="0.2">
      <c r="A47" s="8">
        <v>306</v>
      </c>
      <c r="B47" s="4" t="s">
        <v>197</v>
      </c>
      <c r="C47" s="4"/>
      <c r="D47" s="11">
        <f>Tabel15786[[#This Row],['# tom green]]+Tabel15786[[#This Row],['#tom red]]</f>
        <v>0</v>
      </c>
      <c r="E47" s="3"/>
      <c r="F47" s="3"/>
      <c r="G47" s="3"/>
      <c r="H47" s="3">
        <v>322.86</v>
      </c>
      <c r="I47" s="2"/>
      <c r="N47" s="9"/>
    </row>
    <row r="48" spans="1:14" x14ac:dyDescent="0.2">
      <c r="A48" s="8">
        <v>306</v>
      </c>
      <c r="B48" s="4" t="s">
        <v>198</v>
      </c>
      <c r="C48" s="4"/>
      <c r="D48" s="11">
        <f>Tabel15786[[#This Row],['# tom green]]+Tabel15786[[#This Row],['#tom red]]</f>
        <v>0</v>
      </c>
      <c r="E48" s="3"/>
      <c r="F48" s="3"/>
      <c r="G48" s="3"/>
      <c r="H48" s="3">
        <v>302.18</v>
      </c>
      <c r="I48" s="2"/>
      <c r="N48" s="9"/>
    </row>
    <row r="49" spans="1:14" x14ac:dyDescent="0.2">
      <c r="A49" s="8">
        <v>306</v>
      </c>
      <c r="B49" s="4" t="s">
        <v>199</v>
      </c>
      <c r="C49" s="4"/>
      <c r="D49" s="11">
        <f>Tabel15786[[#This Row],['# tom green]]+Tabel15786[[#This Row],['#tom red]]</f>
        <v>0</v>
      </c>
      <c r="E49" s="3"/>
      <c r="F49" s="3"/>
      <c r="G49" s="3"/>
      <c r="H49" s="3">
        <v>253.58</v>
      </c>
      <c r="I49" s="2"/>
      <c r="N49" s="9"/>
    </row>
    <row r="50" spans="1:14" x14ac:dyDescent="0.2">
      <c r="A50" s="8">
        <v>306</v>
      </c>
      <c r="B50" s="4" t="s">
        <v>200</v>
      </c>
      <c r="C50" s="4"/>
      <c r="D50" s="11">
        <f>Tabel15786[[#This Row],['# tom green]]+Tabel15786[[#This Row],['#tom red]]</f>
        <v>0</v>
      </c>
      <c r="E50" s="3"/>
      <c r="F50" s="3"/>
      <c r="G50" s="3"/>
      <c r="H50" s="3">
        <v>258.87</v>
      </c>
      <c r="I50" s="2"/>
      <c r="N50" s="9"/>
    </row>
    <row r="51" spans="1:14" x14ac:dyDescent="0.2">
      <c r="A51" s="8">
        <v>306</v>
      </c>
      <c r="B51" s="4" t="s">
        <v>201</v>
      </c>
      <c r="C51" s="4"/>
      <c r="D51" s="11">
        <f>Tabel15786[[#This Row],['# tom green]]+Tabel15786[[#This Row],['#tom red]]</f>
        <v>0</v>
      </c>
      <c r="E51" s="3"/>
      <c r="F51" s="3"/>
      <c r="G51" s="3"/>
      <c r="H51" s="3">
        <v>333.7</v>
      </c>
      <c r="I51" s="2"/>
      <c r="N51" s="9"/>
    </row>
    <row r="52" spans="1:14" ht="16" thickBot="1" x14ac:dyDescent="0.25">
      <c r="N52" t="s">
        <v>102</v>
      </c>
    </row>
    <row r="53" spans="1:14" ht="16" thickBot="1" x14ac:dyDescent="0.25">
      <c r="A53" s="55" t="s">
        <v>330</v>
      </c>
      <c r="B53" s="44"/>
      <c r="C53" s="55">
        <f>SUM(C2:C22)</f>
        <v>7119.6500000000005</v>
      </c>
      <c r="D53" s="55">
        <f>SUM(D2:D51)</f>
        <v>968</v>
      </c>
      <c r="E53" s="44">
        <f>SUM(E2:E51)</f>
        <v>302</v>
      </c>
      <c r="F53" s="55">
        <f>SUM(F2:F51)</f>
        <v>1551.3500000000001</v>
      </c>
      <c r="G53" s="55">
        <f>SUM(G2:G51)</f>
        <v>666</v>
      </c>
      <c r="H53" s="45">
        <f>SUM(H2:H22)</f>
        <v>5568.3</v>
      </c>
      <c r="I53" s="55">
        <f>SUM(I2:I51)</f>
        <v>42</v>
      </c>
      <c r="J53" s="67">
        <f>I53/G53</f>
        <v>6.3063063063063057E-2</v>
      </c>
      <c r="N53" s="54">
        <f>(H53/C53)*100</f>
        <v>78.210305281860755</v>
      </c>
    </row>
    <row r="54" spans="1:14" ht="16" thickBot="1" x14ac:dyDescent="0.25">
      <c r="A54" s="57" t="s">
        <v>329</v>
      </c>
      <c r="H54" s="57">
        <f>SUM(H2:H51)</f>
        <v>13759.920000000004</v>
      </c>
      <c r="N54" s="9"/>
    </row>
    <row r="55" spans="1:14" x14ac:dyDescent="0.2">
      <c r="A55" s="58" t="s">
        <v>328</v>
      </c>
      <c r="B55" s="36"/>
      <c r="C55" s="37"/>
      <c r="D55" s="38"/>
      <c r="E55" s="41"/>
      <c r="F55" s="41">
        <v>800.25</v>
      </c>
      <c r="G55" s="41">
        <v>150</v>
      </c>
      <c r="H55" s="41">
        <v>1225.3800000000001</v>
      </c>
      <c r="I55" s="37"/>
      <c r="J55" s="37"/>
      <c r="K55" s="79" t="s">
        <v>325</v>
      </c>
      <c r="L55" s="80"/>
    </row>
    <row r="56" spans="1:14" x14ac:dyDescent="0.2">
      <c r="A56" s="57"/>
      <c r="B56" s="40"/>
      <c r="E56" s="2"/>
      <c r="F56" s="2">
        <v>60.92</v>
      </c>
      <c r="G56" s="2"/>
      <c r="H56" s="2">
        <v>80.44</v>
      </c>
      <c r="K56" s="81" t="s">
        <v>326</v>
      </c>
      <c r="L56" s="82"/>
    </row>
    <row r="57" spans="1:14" ht="16" thickBot="1" x14ac:dyDescent="0.25">
      <c r="A57" s="56"/>
      <c r="B57" s="39"/>
      <c r="C57" s="29"/>
      <c r="D57" s="53"/>
      <c r="E57" s="42"/>
      <c r="F57" s="43">
        <f>(F56/F55)*100</f>
        <v>7.6126210559200258</v>
      </c>
      <c r="G57" s="42"/>
      <c r="H57" s="43">
        <f>(H56/H55)*100</f>
        <v>6.5644942793255963</v>
      </c>
      <c r="I57" s="29"/>
      <c r="J57" s="29"/>
      <c r="K57" s="83" t="s">
        <v>323</v>
      </c>
      <c r="L57" s="84"/>
    </row>
    <row r="58" spans="1:14" ht="16" thickBot="1" x14ac:dyDescent="0.25">
      <c r="A58" s="55" t="s">
        <v>240</v>
      </c>
      <c r="B58" s="29"/>
      <c r="C58" s="29"/>
      <c r="D58" s="53"/>
      <c r="E58" s="29"/>
      <c r="F58" s="29"/>
      <c r="G58" s="29"/>
      <c r="H58" s="55">
        <f>AVERAGE(Tabel15786[FW red])</f>
        <v>275.19840000000005</v>
      </c>
    </row>
    <row r="60" spans="1:14" x14ac:dyDescent="0.2">
      <c r="B60" s="70" t="s">
        <v>333</v>
      </c>
      <c r="C60" s="71">
        <f>AVERAGE(C2:C31)</f>
        <v>339.03095238095239</v>
      </c>
    </row>
    <row r="61" spans="1:14" x14ac:dyDescent="0.2">
      <c r="B61" s="59" t="s">
        <v>40</v>
      </c>
      <c r="C61" s="35">
        <f>_xlfn.STDEV.S(C2:C51)/(SQRT(COUNT(C2:C7)))</f>
        <v>44.68931283324833</v>
      </c>
    </row>
    <row r="62" spans="1:14" x14ac:dyDescent="0.2">
      <c r="B62" s="59"/>
      <c r="C62" s="35"/>
    </row>
    <row r="63" spans="1:14" x14ac:dyDescent="0.2">
      <c r="B63" s="59" t="s">
        <v>332</v>
      </c>
      <c r="C63" s="35">
        <f>AVERAGE(H2:H22)</f>
        <v>265.15714285714284</v>
      </c>
    </row>
    <row r="64" spans="1:14" x14ac:dyDescent="0.2">
      <c r="B64" s="72" t="s">
        <v>40</v>
      </c>
      <c r="C64" s="34">
        <f>_xlfn.STDEV.S(H2:H22)/(SQRT(COUNT(H2:H22)))</f>
        <v>16.741974340857553</v>
      </c>
    </row>
  </sheetData>
  <mergeCells count="3">
    <mergeCell ref="K55:L55"/>
    <mergeCell ref="K56:L56"/>
    <mergeCell ref="K57:L57"/>
  </mergeCells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79567-CDEE-4297-8712-0D8FEA881A60}">
  <dimension ref="A1:N64"/>
  <sheetViews>
    <sheetView workbookViewId="0">
      <selection activeCell="M41" sqref="M41"/>
    </sheetView>
  </sheetViews>
  <sheetFormatPr baseColWidth="10" defaultColWidth="8.83203125" defaultRowHeight="15" x14ac:dyDescent="0.2"/>
  <cols>
    <col min="4" max="4" width="8.83203125" style="13"/>
    <col min="5" max="5" width="13.6640625" customWidth="1"/>
    <col min="6" max="6" width="11.83203125" customWidth="1"/>
    <col min="7" max="8" width="13.83203125" customWidth="1"/>
  </cols>
  <sheetData>
    <row r="1" spans="1:9" ht="16" thickBot="1" x14ac:dyDescent="0.25">
      <c r="A1" s="33" t="s">
        <v>324</v>
      </c>
      <c r="B1" s="19" t="s">
        <v>0</v>
      </c>
      <c r="C1" s="20" t="s">
        <v>74</v>
      </c>
      <c r="D1" s="21" t="s">
        <v>101</v>
      </c>
      <c r="E1" s="50" t="s">
        <v>71</v>
      </c>
      <c r="F1" s="50" t="s">
        <v>79</v>
      </c>
      <c r="G1" s="51" t="s">
        <v>73</v>
      </c>
      <c r="H1" s="51" t="s">
        <v>78</v>
      </c>
      <c r="I1" s="52" t="s">
        <v>100</v>
      </c>
    </row>
    <row r="2" spans="1:9" x14ac:dyDescent="0.2">
      <c r="A2" s="8">
        <v>303</v>
      </c>
      <c r="B2" s="4" t="s">
        <v>15</v>
      </c>
      <c r="C2" s="4">
        <f>SUM(F2,H2)</f>
        <v>281.31</v>
      </c>
      <c r="D2" s="12">
        <f>Tabel15789[[#This Row],['# tom green]]+Tabel15789[[#This Row],['#tom red]]</f>
        <v>39</v>
      </c>
      <c r="E2" s="2">
        <v>7</v>
      </c>
      <c r="F2" s="2">
        <v>33.4</v>
      </c>
      <c r="G2" s="2">
        <v>32</v>
      </c>
      <c r="H2" s="2">
        <v>247.91</v>
      </c>
      <c r="I2" s="2"/>
    </row>
    <row r="3" spans="1:9" x14ac:dyDescent="0.2">
      <c r="A3" s="8">
        <v>303</v>
      </c>
      <c r="B3" s="4" t="s">
        <v>16</v>
      </c>
      <c r="C3" s="4">
        <f t="shared" ref="C3:C31" si="0">SUM(F3,H3)</f>
        <v>284.02999999999997</v>
      </c>
      <c r="D3" s="10">
        <f>Tabel15789[[#This Row],['# tom green]]+Tabel15789[[#This Row],['#tom red]]</f>
        <v>48</v>
      </c>
      <c r="E3" s="2">
        <v>15</v>
      </c>
      <c r="F3" s="2">
        <v>62.56</v>
      </c>
      <c r="G3" s="2">
        <v>33</v>
      </c>
      <c r="H3" s="2">
        <v>221.47</v>
      </c>
      <c r="I3" s="2"/>
    </row>
    <row r="4" spans="1:9" x14ac:dyDescent="0.2">
      <c r="A4" s="8">
        <v>303</v>
      </c>
      <c r="B4" s="4" t="s">
        <v>17</v>
      </c>
      <c r="C4" s="4">
        <f t="shared" si="0"/>
        <v>301.17</v>
      </c>
      <c r="D4" s="10">
        <f>Tabel15789[[#This Row],['# tom green]]+Tabel15789[[#This Row],['#tom red]]</f>
        <v>39</v>
      </c>
      <c r="E4" s="2">
        <v>7</v>
      </c>
      <c r="F4" s="2">
        <v>41.35</v>
      </c>
      <c r="G4" s="2">
        <v>32</v>
      </c>
      <c r="H4" s="2">
        <v>259.82</v>
      </c>
      <c r="I4" s="2"/>
    </row>
    <row r="5" spans="1:9" x14ac:dyDescent="0.2">
      <c r="A5" s="8">
        <v>303</v>
      </c>
      <c r="B5" s="4" t="s">
        <v>18</v>
      </c>
      <c r="C5" s="4">
        <f t="shared" si="0"/>
        <v>250.75</v>
      </c>
      <c r="D5" s="10">
        <f>Tabel15789[[#This Row],['# tom green]]+Tabel15789[[#This Row],['#tom red]]</f>
        <v>38</v>
      </c>
      <c r="E5" s="2">
        <v>13</v>
      </c>
      <c r="F5" s="2">
        <v>61.07</v>
      </c>
      <c r="G5" s="2">
        <v>25</v>
      </c>
      <c r="H5" s="2">
        <v>189.68</v>
      </c>
      <c r="I5" s="2"/>
    </row>
    <row r="6" spans="1:9" x14ac:dyDescent="0.2">
      <c r="A6" s="8">
        <v>303</v>
      </c>
      <c r="B6" s="4" t="s">
        <v>19</v>
      </c>
      <c r="C6" s="4">
        <f t="shared" si="0"/>
        <v>333.41999999999996</v>
      </c>
      <c r="D6" s="10">
        <f>Tabel15789[[#This Row],['# tom green]]+Tabel15789[[#This Row],['#tom red]]</f>
        <v>45</v>
      </c>
      <c r="E6" s="2">
        <v>7</v>
      </c>
      <c r="F6" s="2">
        <v>34.520000000000003</v>
      </c>
      <c r="G6" s="2">
        <v>38</v>
      </c>
      <c r="H6" s="2">
        <v>298.89999999999998</v>
      </c>
      <c r="I6" s="2"/>
    </row>
    <row r="7" spans="1:9" x14ac:dyDescent="0.2">
      <c r="A7" s="8">
        <v>303</v>
      </c>
      <c r="B7" s="4" t="s">
        <v>20</v>
      </c>
      <c r="C7" s="4">
        <f t="shared" si="0"/>
        <v>143.35999999999999</v>
      </c>
      <c r="D7" s="11">
        <f>Tabel15789[[#This Row],['# tom green]]+Tabel15789[[#This Row],['#tom red]]</f>
        <v>34</v>
      </c>
      <c r="E7" s="2">
        <v>11</v>
      </c>
      <c r="F7" s="2">
        <v>31.73</v>
      </c>
      <c r="G7" s="2">
        <v>23</v>
      </c>
      <c r="H7" s="2">
        <v>111.63</v>
      </c>
      <c r="I7" s="2"/>
    </row>
    <row r="8" spans="1:9" x14ac:dyDescent="0.2">
      <c r="A8" s="8">
        <v>303</v>
      </c>
      <c r="B8" s="4" t="s">
        <v>202</v>
      </c>
      <c r="C8" s="4">
        <f t="shared" si="0"/>
        <v>296.86</v>
      </c>
      <c r="D8" s="11">
        <f>Tabel15789[[#This Row],['# tom green]]+Tabel15789[[#This Row],['#tom red]]</f>
        <v>45</v>
      </c>
      <c r="E8" s="2">
        <v>7</v>
      </c>
      <c r="F8" s="2">
        <v>27.26</v>
      </c>
      <c r="G8" s="2">
        <v>38</v>
      </c>
      <c r="H8" s="2">
        <v>269.60000000000002</v>
      </c>
      <c r="I8" s="2"/>
    </row>
    <row r="9" spans="1:9" x14ac:dyDescent="0.2">
      <c r="A9" s="8">
        <v>303</v>
      </c>
      <c r="B9" s="4" t="s">
        <v>203</v>
      </c>
      <c r="C9" s="4">
        <f t="shared" si="0"/>
        <v>258.36</v>
      </c>
      <c r="D9" s="11">
        <f>Tabel15789[[#This Row],['# tom green]]+Tabel15789[[#This Row],['#tom red]]</f>
        <v>39</v>
      </c>
      <c r="E9" s="2">
        <v>5</v>
      </c>
      <c r="F9" s="2">
        <v>19.72</v>
      </c>
      <c r="G9" s="2">
        <v>34</v>
      </c>
      <c r="H9" s="2">
        <v>238.64</v>
      </c>
      <c r="I9" s="2"/>
    </row>
    <row r="10" spans="1:9" x14ac:dyDescent="0.2">
      <c r="A10" s="8">
        <v>303</v>
      </c>
      <c r="B10" s="4" t="s">
        <v>204</v>
      </c>
      <c r="C10" s="4">
        <f t="shared" si="0"/>
        <v>257.05</v>
      </c>
      <c r="D10" s="11">
        <f>Tabel15789[[#This Row],['# tom green]]+Tabel15789[[#This Row],['#tom red]]</f>
        <v>40</v>
      </c>
      <c r="E10" s="2">
        <v>5</v>
      </c>
      <c r="F10" s="2">
        <v>23.6</v>
      </c>
      <c r="G10" s="2">
        <v>35</v>
      </c>
      <c r="H10" s="2">
        <v>233.45</v>
      </c>
      <c r="I10" s="2"/>
    </row>
    <row r="11" spans="1:9" x14ac:dyDescent="0.2">
      <c r="A11" s="8">
        <v>303</v>
      </c>
      <c r="B11" s="4" t="s">
        <v>205</v>
      </c>
      <c r="C11" s="4">
        <f t="shared" si="0"/>
        <v>145.47</v>
      </c>
      <c r="D11" s="11">
        <f>Tabel15789[[#This Row],['# tom green]]+Tabel15789[[#This Row],['#tom red]]</f>
        <v>23</v>
      </c>
      <c r="E11" s="2">
        <v>3</v>
      </c>
      <c r="F11" s="2">
        <v>12.1</v>
      </c>
      <c r="G11" s="2">
        <v>20</v>
      </c>
      <c r="H11" s="2">
        <v>133.37</v>
      </c>
      <c r="I11" s="2"/>
    </row>
    <row r="12" spans="1:9" x14ac:dyDescent="0.2">
      <c r="A12" s="8">
        <v>303</v>
      </c>
      <c r="B12" s="4" t="s">
        <v>206</v>
      </c>
      <c r="C12" s="4">
        <f t="shared" si="0"/>
        <v>164.89999999999998</v>
      </c>
      <c r="D12" s="11">
        <f>Tabel15789[[#This Row],['# tom green]]+Tabel15789[[#This Row],['#tom red]]</f>
        <v>23</v>
      </c>
      <c r="E12" s="2">
        <v>5</v>
      </c>
      <c r="F12" s="2">
        <v>27.51</v>
      </c>
      <c r="G12" s="2">
        <v>18</v>
      </c>
      <c r="H12" s="2">
        <v>137.38999999999999</v>
      </c>
      <c r="I12" s="2"/>
    </row>
    <row r="13" spans="1:9" x14ac:dyDescent="0.2">
      <c r="A13" s="8">
        <v>303</v>
      </c>
      <c r="B13" s="4" t="s">
        <v>207</v>
      </c>
      <c r="C13" s="4">
        <f t="shared" si="0"/>
        <v>200.7</v>
      </c>
      <c r="D13" s="11">
        <f>Tabel15789[[#This Row],['# tom green]]+Tabel15789[[#This Row],['#tom red]]</f>
        <v>30</v>
      </c>
      <c r="E13" s="2">
        <v>3</v>
      </c>
      <c r="F13" s="2">
        <v>11.61</v>
      </c>
      <c r="G13" s="2">
        <v>27</v>
      </c>
      <c r="H13" s="2">
        <v>189.09</v>
      </c>
      <c r="I13" s="2"/>
    </row>
    <row r="14" spans="1:9" x14ac:dyDescent="0.2">
      <c r="A14" s="8">
        <v>303</v>
      </c>
      <c r="B14" s="4" t="s">
        <v>47</v>
      </c>
      <c r="C14" s="4">
        <f t="shared" si="0"/>
        <v>386.90999999999997</v>
      </c>
      <c r="D14" s="11">
        <f>Tabel15789[[#This Row],['# tom green]]+Tabel15789[[#This Row],['#tom red]]</f>
        <v>56</v>
      </c>
      <c r="E14" s="2">
        <v>16</v>
      </c>
      <c r="F14" s="2">
        <v>75.52</v>
      </c>
      <c r="G14" s="2">
        <v>40</v>
      </c>
      <c r="H14" s="2">
        <v>311.39</v>
      </c>
      <c r="I14" s="2"/>
    </row>
    <row r="15" spans="1:9" x14ac:dyDescent="0.2">
      <c r="A15" s="8">
        <v>303</v>
      </c>
      <c r="B15" s="4" t="s">
        <v>48</v>
      </c>
      <c r="C15" s="4">
        <f t="shared" si="0"/>
        <v>401.63</v>
      </c>
      <c r="D15" s="11">
        <f>Tabel15789[[#This Row],['# tom green]]+Tabel15789[[#This Row],['#tom red]]</f>
        <v>51</v>
      </c>
      <c r="E15" s="2">
        <v>15</v>
      </c>
      <c r="F15" s="2">
        <v>86.64</v>
      </c>
      <c r="G15" s="2">
        <v>36</v>
      </c>
      <c r="H15" s="2">
        <v>314.99</v>
      </c>
      <c r="I15" s="2"/>
    </row>
    <row r="16" spans="1:9" x14ac:dyDescent="0.2">
      <c r="A16" s="8">
        <v>303</v>
      </c>
      <c r="B16" s="4" t="s">
        <v>49</v>
      </c>
      <c r="C16" s="4">
        <f t="shared" si="0"/>
        <v>282.7</v>
      </c>
      <c r="D16" s="11">
        <f>Tabel15789[[#This Row],['# tom green]]+Tabel15789[[#This Row],['#tom red]]</f>
        <v>42</v>
      </c>
      <c r="E16" s="2">
        <v>11</v>
      </c>
      <c r="F16" s="2">
        <v>61.35</v>
      </c>
      <c r="G16" s="2">
        <v>31</v>
      </c>
      <c r="H16" s="2">
        <v>221.35</v>
      </c>
      <c r="I16" s="2"/>
    </row>
    <row r="17" spans="1:9" x14ac:dyDescent="0.2">
      <c r="A17" s="8">
        <v>303</v>
      </c>
      <c r="B17" s="4" t="s">
        <v>50</v>
      </c>
      <c r="C17" s="4">
        <f t="shared" si="0"/>
        <v>311.27</v>
      </c>
      <c r="D17" s="11">
        <f>Tabel15789[[#This Row],['# tom green]]+Tabel15789[[#This Row],['#tom red]]</f>
        <v>41</v>
      </c>
      <c r="E17" s="2">
        <v>8</v>
      </c>
      <c r="F17" s="2">
        <v>47.16</v>
      </c>
      <c r="G17" s="2">
        <v>33</v>
      </c>
      <c r="H17" s="2">
        <v>264.11</v>
      </c>
      <c r="I17" s="2"/>
    </row>
    <row r="18" spans="1:9" x14ac:dyDescent="0.2">
      <c r="A18" s="8">
        <v>303</v>
      </c>
      <c r="B18" s="4" t="s">
        <v>51</v>
      </c>
      <c r="C18" s="4">
        <f t="shared" si="0"/>
        <v>263.3</v>
      </c>
      <c r="D18" s="11">
        <f>Tabel15789[[#This Row],['# tom green]]+Tabel15789[[#This Row],['#tom red]]</f>
        <v>38</v>
      </c>
      <c r="E18" s="2">
        <v>6</v>
      </c>
      <c r="F18" s="2">
        <v>25.97</v>
      </c>
      <c r="G18" s="2">
        <v>32</v>
      </c>
      <c r="H18" s="2">
        <v>237.33</v>
      </c>
      <c r="I18" s="2"/>
    </row>
    <row r="19" spans="1:9" x14ac:dyDescent="0.2">
      <c r="A19" s="8">
        <v>303</v>
      </c>
      <c r="B19" s="4" t="s">
        <v>52</v>
      </c>
      <c r="C19" s="4">
        <f t="shared" si="0"/>
        <v>335.80999999999995</v>
      </c>
      <c r="D19" s="11">
        <f>Tabel15789[[#This Row],['# tom green]]+Tabel15789[[#This Row],['#tom red]]</f>
        <v>46</v>
      </c>
      <c r="E19" s="2">
        <v>13</v>
      </c>
      <c r="F19" s="2">
        <v>61.66</v>
      </c>
      <c r="G19" s="2">
        <v>33</v>
      </c>
      <c r="H19" s="2">
        <v>274.14999999999998</v>
      </c>
      <c r="I19" s="2"/>
    </row>
    <row r="20" spans="1:9" x14ac:dyDescent="0.2">
      <c r="A20" s="8">
        <v>303</v>
      </c>
      <c r="B20" s="4" t="s">
        <v>208</v>
      </c>
      <c r="C20" s="4">
        <f t="shared" si="0"/>
        <v>179.38000000000002</v>
      </c>
      <c r="D20" s="11">
        <f>Tabel15789[[#This Row],['# tom green]]+Tabel15789[[#This Row],['#tom red]]</f>
        <v>27</v>
      </c>
      <c r="E20" s="2">
        <v>3</v>
      </c>
      <c r="F20" s="2">
        <v>6.55</v>
      </c>
      <c r="G20" s="2">
        <v>24</v>
      </c>
      <c r="H20" s="2">
        <v>172.83</v>
      </c>
      <c r="I20" s="2"/>
    </row>
    <row r="21" spans="1:9" x14ac:dyDescent="0.2">
      <c r="A21" s="8">
        <v>303</v>
      </c>
      <c r="B21" s="4" t="s">
        <v>209</v>
      </c>
      <c r="C21" s="4">
        <f t="shared" si="0"/>
        <v>247.13</v>
      </c>
      <c r="D21" s="11">
        <f>Tabel15789[[#This Row],['# tom green]]+Tabel15789[[#This Row],['#tom red]]</f>
        <v>35</v>
      </c>
      <c r="E21" s="2">
        <v>4</v>
      </c>
      <c r="F21" s="2">
        <v>18.72</v>
      </c>
      <c r="G21" s="2">
        <v>31</v>
      </c>
      <c r="H21" s="2">
        <v>228.41</v>
      </c>
      <c r="I21" s="2"/>
    </row>
    <row r="22" spans="1:9" x14ac:dyDescent="0.2">
      <c r="A22" s="8">
        <v>303</v>
      </c>
      <c r="B22" s="4" t="s">
        <v>210</v>
      </c>
      <c r="C22" s="4">
        <f t="shared" si="0"/>
        <v>235.56</v>
      </c>
      <c r="D22" s="11">
        <f>Tabel15789[[#This Row],['# tom green]]+Tabel15789[[#This Row],['#tom red]]</f>
        <v>32</v>
      </c>
      <c r="E22" s="2">
        <v>5</v>
      </c>
      <c r="F22" s="2">
        <v>22.77</v>
      </c>
      <c r="G22" s="2">
        <v>27</v>
      </c>
      <c r="H22" s="2">
        <v>212.79</v>
      </c>
      <c r="I22" s="2"/>
    </row>
    <row r="23" spans="1:9" x14ac:dyDescent="0.2">
      <c r="A23" s="8">
        <v>303</v>
      </c>
      <c r="B23" s="4" t="s">
        <v>211</v>
      </c>
      <c r="C23" s="4">
        <f t="shared" si="0"/>
        <v>258.94</v>
      </c>
      <c r="D23" s="11">
        <f>Tabel15789[[#This Row],['# tom green]]+Tabel15789[[#This Row],['#tom red]]</f>
        <v>39</v>
      </c>
      <c r="E23" s="2">
        <v>15</v>
      </c>
      <c r="F23" s="2">
        <v>68.83</v>
      </c>
      <c r="G23" s="2">
        <v>24</v>
      </c>
      <c r="H23" s="2">
        <v>190.11</v>
      </c>
      <c r="I23" s="2"/>
    </row>
    <row r="24" spans="1:9" x14ac:dyDescent="0.2">
      <c r="A24" s="8">
        <v>303</v>
      </c>
      <c r="B24" s="4" t="s">
        <v>212</v>
      </c>
      <c r="C24" s="4">
        <f t="shared" si="0"/>
        <v>342.2</v>
      </c>
      <c r="D24" s="11">
        <f>Tabel15789[[#This Row],['# tom green]]+Tabel15789[[#This Row],['#tom red]]</f>
        <v>54</v>
      </c>
      <c r="E24" s="2">
        <v>13</v>
      </c>
      <c r="F24" s="2">
        <v>46.81</v>
      </c>
      <c r="G24" s="2">
        <v>41</v>
      </c>
      <c r="H24" s="2">
        <v>295.39</v>
      </c>
      <c r="I24" s="2"/>
    </row>
    <row r="25" spans="1:9" x14ac:dyDescent="0.2">
      <c r="A25" s="8">
        <v>303</v>
      </c>
      <c r="B25" s="4" t="s">
        <v>213</v>
      </c>
      <c r="C25" s="4">
        <f t="shared" si="0"/>
        <v>254.97</v>
      </c>
      <c r="D25" s="11">
        <f>Tabel15789[[#This Row],['# tom green]]+Tabel15789[[#This Row],['#tom red]]</f>
        <v>41</v>
      </c>
      <c r="E25" s="2">
        <v>16</v>
      </c>
      <c r="F25" s="2">
        <v>82.44</v>
      </c>
      <c r="G25" s="2">
        <v>25</v>
      </c>
      <c r="H25" s="2">
        <v>172.53</v>
      </c>
      <c r="I25" s="2"/>
    </row>
    <row r="26" spans="1:9" x14ac:dyDescent="0.2">
      <c r="A26" s="8">
        <v>303</v>
      </c>
      <c r="B26" s="4" t="s">
        <v>214</v>
      </c>
      <c r="C26" s="4">
        <f t="shared" si="0"/>
        <v>299.65999999999997</v>
      </c>
      <c r="D26" s="11">
        <f>Tabel15789[[#This Row],['# tom green]]+Tabel15789[[#This Row],['#tom red]]</f>
        <v>37</v>
      </c>
      <c r="E26" s="2">
        <v>11</v>
      </c>
      <c r="F26" s="2">
        <v>64.91</v>
      </c>
      <c r="G26" s="2">
        <v>26</v>
      </c>
      <c r="H26" s="2">
        <v>234.75</v>
      </c>
      <c r="I26" s="2"/>
    </row>
    <row r="27" spans="1:9" x14ac:dyDescent="0.2">
      <c r="A27" s="8">
        <v>303</v>
      </c>
      <c r="B27" s="4" t="s">
        <v>215</v>
      </c>
      <c r="C27" s="4">
        <f t="shared" si="0"/>
        <v>355.5</v>
      </c>
      <c r="D27" s="11">
        <f>Tabel15789[[#This Row],['# tom green]]+Tabel15789[[#This Row],['#tom red]]</f>
        <v>51</v>
      </c>
      <c r="E27" s="2">
        <v>9</v>
      </c>
      <c r="F27" s="2">
        <v>31.27</v>
      </c>
      <c r="G27" s="2">
        <v>42</v>
      </c>
      <c r="H27" s="2">
        <v>324.23</v>
      </c>
      <c r="I27" s="2"/>
    </row>
    <row r="28" spans="1:9" x14ac:dyDescent="0.2">
      <c r="A28" s="8">
        <v>303</v>
      </c>
      <c r="B28" s="4" t="s">
        <v>216</v>
      </c>
      <c r="C28" s="4">
        <f t="shared" si="0"/>
        <v>340.84999999999997</v>
      </c>
      <c r="D28" s="11">
        <f>Tabel15789[[#This Row],['# tom green]]+Tabel15789[[#This Row],['#tom red]]</f>
        <v>45</v>
      </c>
      <c r="E28" s="2">
        <v>5</v>
      </c>
      <c r="F28" s="2">
        <v>29.71</v>
      </c>
      <c r="G28" s="2">
        <v>40</v>
      </c>
      <c r="H28" s="2">
        <v>311.14</v>
      </c>
      <c r="I28" s="2"/>
    </row>
    <row r="29" spans="1:9" x14ac:dyDescent="0.2">
      <c r="A29" s="8">
        <v>303</v>
      </c>
      <c r="B29" s="4" t="s">
        <v>217</v>
      </c>
      <c r="C29" s="4">
        <f t="shared" si="0"/>
        <v>286.97000000000003</v>
      </c>
      <c r="D29" s="11">
        <f>Tabel15789[[#This Row],['# tom green]]+Tabel15789[[#This Row],['#tom red]]</f>
        <v>42</v>
      </c>
      <c r="E29" s="2">
        <v>7</v>
      </c>
      <c r="F29" s="2">
        <v>40.200000000000003</v>
      </c>
      <c r="G29" s="2">
        <v>35</v>
      </c>
      <c r="H29" s="2">
        <v>246.77</v>
      </c>
      <c r="I29" s="2"/>
    </row>
    <row r="30" spans="1:9" x14ac:dyDescent="0.2">
      <c r="A30" s="8">
        <v>303</v>
      </c>
      <c r="B30" s="4" t="s">
        <v>218</v>
      </c>
      <c r="C30" s="4">
        <f t="shared" si="0"/>
        <v>376.65</v>
      </c>
      <c r="D30" s="11">
        <f>Tabel15789[[#This Row],['# tom green]]+Tabel15789[[#This Row],['#tom red]]</f>
        <v>61</v>
      </c>
      <c r="E30" s="2">
        <v>18</v>
      </c>
      <c r="F30" s="2">
        <v>61.27</v>
      </c>
      <c r="G30" s="2">
        <v>43</v>
      </c>
      <c r="H30" s="2">
        <v>315.38</v>
      </c>
      <c r="I30" s="2"/>
    </row>
    <row r="31" spans="1:9" x14ac:dyDescent="0.2">
      <c r="A31" s="8">
        <v>303</v>
      </c>
      <c r="B31" s="4" t="s">
        <v>219</v>
      </c>
      <c r="C31" s="4">
        <f t="shared" si="0"/>
        <v>296.11</v>
      </c>
      <c r="D31" s="11">
        <f>Tabel15789[[#This Row],['# tom green]]+Tabel15789[[#This Row],['#tom red]]</f>
        <v>35</v>
      </c>
      <c r="E31" s="2">
        <v>7</v>
      </c>
      <c r="F31" s="2">
        <v>39.909999999999997</v>
      </c>
      <c r="G31" s="2">
        <v>28</v>
      </c>
      <c r="H31" s="2">
        <v>256.2</v>
      </c>
      <c r="I31" s="2"/>
    </row>
    <row r="32" spans="1:9" x14ac:dyDescent="0.2">
      <c r="A32" s="8">
        <v>303</v>
      </c>
      <c r="B32" s="4" t="s">
        <v>220</v>
      </c>
      <c r="C32" s="4"/>
      <c r="D32" s="11">
        <f>Tabel15789[[#This Row],['# tom green]]+Tabel15789[[#This Row],['#tom red]]</f>
        <v>48</v>
      </c>
      <c r="E32" s="2"/>
      <c r="F32" s="2"/>
      <c r="G32" s="2">
        <v>48</v>
      </c>
      <c r="H32" s="2">
        <v>375</v>
      </c>
      <c r="I32" s="2"/>
    </row>
    <row r="33" spans="1:14" x14ac:dyDescent="0.2">
      <c r="A33" s="8">
        <v>303</v>
      </c>
      <c r="B33" s="4" t="s">
        <v>221</v>
      </c>
      <c r="C33" s="4"/>
      <c r="D33" s="11">
        <f>Tabel15789[[#This Row],['# tom green]]+Tabel15789[[#This Row],['#tom red]]</f>
        <v>32</v>
      </c>
      <c r="E33" s="2"/>
      <c r="F33" s="2"/>
      <c r="G33" s="2">
        <v>32</v>
      </c>
      <c r="H33" s="2">
        <v>253.85</v>
      </c>
      <c r="I33" s="2"/>
    </row>
    <row r="34" spans="1:14" x14ac:dyDescent="0.2">
      <c r="A34" s="8">
        <v>303</v>
      </c>
      <c r="B34" s="4" t="s">
        <v>222</v>
      </c>
      <c r="C34" s="4"/>
      <c r="D34" s="11">
        <f>Tabel15789[[#This Row],['# tom green]]+Tabel15789[[#This Row],['#tom red]]</f>
        <v>36</v>
      </c>
      <c r="E34" s="2"/>
      <c r="F34" s="2"/>
      <c r="G34" s="2">
        <v>36</v>
      </c>
      <c r="H34" s="2">
        <v>288.61</v>
      </c>
      <c r="I34" s="2"/>
    </row>
    <row r="35" spans="1:14" x14ac:dyDescent="0.2">
      <c r="A35" s="8">
        <v>303</v>
      </c>
      <c r="B35" s="4" t="s">
        <v>223</v>
      </c>
      <c r="C35" s="4"/>
      <c r="D35" s="11">
        <f>Tabel15789[[#This Row],['# tom green]]+Tabel15789[[#This Row],['#tom red]]</f>
        <v>32</v>
      </c>
      <c r="E35" s="2"/>
      <c r="F35" s="2"/>
      <c r="G35" s="2">
        <v>32</v>
      </c>
      <c r="H35" s="2">
        <v>266.86</v>
      </c>
      <c r="I35" s="2"/>
    </row>
    <row r="36" spans="1:14" x14ac:dyDescent="0.2">
      <c r="A36" s="8">
        <v>303</v>
      </c>
      <c r="B36" s="4" t="s">
        <v>224</v>
      </c>
      <c r="C36" s="4"/>
      <c r="D36" s="11">
        <f>Tabel15789[[#This Row],['# tom green]]+Tabel15789[[#This Row],['#tom red]]</f>
        <v>44</v>
      </c>
      <c r="E36" s="2"/>
      <c r="F36" s="2"/>
      <c r="G36" s="2">
        <v>44</v>
      </c>
      <c r="H36" s="2">
        <v>349.96</v>
      </c>
      <c r="I36" s="2"/>
    </row>
    <row r="37" spans="1:14" x14ac:dyDescent="0.2">
      <c r="A37" s="8">
        <v>303</v>
      </c>
      <c r="B37" s="4" t="s">
        <v>225</v>
      </c>
      <c r="C37" s="4"/>
      <c r="D37" s="11">
        <f>Tabel15789[[#This Row],['# tom green]]+Tabel15789[[#This Row],['#tom red]]</f>
        <v>50</v>
      </c>
      <c r="E37" s="2"/>
      <c r="F37" s="2"/>
      <c r="G37" s="2">
        <v>50</v>
      </c>
      <c r="H37" s="2">
        <v>444.11</v>
      </c>
      <c r="I37" s="2"/>
    </row>
    <row r="38" spans="1:14" x14ac:dyDescent="0.2">
      <c r="A38" s="8">
        <v>303</v>
      </c>
      <c r="B38" s="4" t="s">
        <v>226</v>
      </c>
      <c r="C38" s="4"/>
      <c r="D38" s="11">
        <f>Tabel15789[[#This Row],['# tom green]]+Tabel15789[[#This Row],['#tom red]]</f>
        <v>29</v>
      </c>
      <c r="E38" s="2"/>
      <c r="F38" s="2"/>
      <c r="G38" s="2">
        <v>29</v>
      </c>
      <c r="H38" s="2">
        <v>224.82</v>
      </c>
      <c r="I38" s="2"/>
    </row>
    <row r="39" spans="1:14" x14ac:dyDescent="0.2">
      <c r="A39" s="8">
        <v>303</v>
      </c>
      <c r="B39" s="4" t="s">
        <v>227</v>
      </c>
      <c r="C39" s="4"/>
      <c r="D39" s="11">
        <f>Tabel15789[[#This Row],['# tom green]]+Tabel15789[[#This Row],['#tom red]]</f>
        <v>34</v>
      </c>
      <c r="E39" s="2"/>
      <c r="F39" s="2"/>
      <c r="G39" s="2">
        <v>34</v>
      </c>
      <c r="H39" s="2">
        <v>231.2</v>
      </c>
      <c r="I39" s="2"/>
      <c r="N39" s="9"/>
    </row>
    <row r="40" spans="1:14" x14ac:dyDescent="0.2">
      <c r="A40" s="8">
        <v>303</v>
      </c>
      <c r="B40" s="4" t="s">
        <v>228</v>
      </c>
      <c r="C40" s="4"/>
      <c r="D40" s="11">
        <f>Tabel15789[[#This Row],['# tom green]]+Tabel15789[[#This Row],['#tom red]]</f>
        <v>32</v>
      </c>
      <c r="E40" s="2"/>
      <c r="F40" s="2"/>
      <c r="G40" s="2">
        <v>32</v>
      </c>
      <c r="H40" s="2">
        <v>300</v>
      </c>
      <c r="I40" s="2"/>
      <c r="N40" s="9"/>
    </row>
    <row r="41" spans="1:14" x14ac:dyDescent="0.2">
      <c r="A41" s="8">
        <v>303</v>
      </c>
      <c r="B41" s="4" t="s">
        <v>229</v>
      </c>
      <c r="C41" s="4"/>
      <c r="D41" s="11">
        <f>Tabel15789[[#This Row],['# tom green]]+Tabel15789[[#This Row],['#tom red]]</f>
        <v>28</v>
      </c>
      <c r="E41" s="2"/>
      <c r="F41" s="2"/>
      <c r="G41" s="2">
        <v>28</v>
      </c>
      <c r="H41" s="2">
        <v>228.63</v>
      </c>
      <c r="I41" s="2"/>
      <c r="N41" s="9"/>
    </row>
    <row r="42" spans="1:14" x14ac:dyDescent="0.2">
      <c r="A42" s="8">
        <v>303</v>
      </c>
      <c r="B42" s="4" t="s">
        <v>230</v>
      </c>
      <c r="C42" s="4"/>
      <c r="D42" s="11">
        <f>Tabel15789[[#This Row],['# tom green]]+Tabel15789[[#This Row],['#tom red]]</f>
        <v>35</v>
      </c>
      <c r="E42" s="2"/>
      <c r="F42" s="2"/>
      <c r="G42" s="2">
        <v>35</v>
      </c>
      <c r="H42" s="2">
        <v>296.52999999999997</v>
      </c>
      <c r="I42" s="2"/>
      <c r="N42" s="9"/>
    </row>
    <row r="43" spans="1:14" x14ac:dyDescent="0.2">
      <c r="A43" s="8">
        <v>303</v>
      </c>
      <c r="B43" s="4" t="s">
        <v>231</v>
      </c>
      <c r="C43" s="4"/>
      <c r="D43" s="11">
        <f>Tabel15789[[#This Row],['# tom green]]+Tabel15789[[#This Row],['#tom red]]</f>
        <v>47</v>
      </c>
      <c r="E43" s="2"/>
      <c r="F43" s="2"/>
      <c r="G43" s="2">
        <v>47</v>
      </c>
      <c r="H43" s="2">
        <v>392.44</v>
      </c>
      <c r="I43" s="2"/>
      <c r="N43" s="9"/>
    </row>
    <row r="44" spans="1:14" x14ac:dyDescent="0.2">
      <c r="A44" s="8">
        <v>303</v>
      </c>
      <c r="B44" s="4" t="s">
        <v>232</v>
      </c>
      <c r="C44" s="4"/>
      <c r="D44" s="11">
        <f>Tabel15789[[#This Row],['# tom green]]+Tabel15789[[#This Row],['#tom red]]</f>
        <v>38</v>
      </c>
      <c r="E44" s="2"/>
      <c r="F44" s="2"/>
      <c r="G44" s="2">
        <v>38</v>
      </c>
      <c r="H44" s="2">
        <v>299.7</v>
      </c>
      <c r="I44" s="2"/>
      <c r="N44" s="9"/>
    </row>
    <row r="45" spans="1:14" x14ac:dyDescent="0.2">
      <c r="A45" s="8">
        <v>303</v>
      </c>
      <c r="B45" s="4" t="s">
        <v>233</v>
      </c>
      <c r="C45" s="4"/>
      <c r="D45" s="11">
        <f>Tabel15789[[#This Row],['# tom green]]+Tabel15789[[#This Row],['#tom red]]</f>
        <v>36</v>
      </c>
      <c r="E45" s="2"/>
      <c r="F45" s="2"/>
      <c r="G45" s="2">
        <v>36</v>
      </c>
      <c r="H45" s="2">
        <v>291.99</v>
      </c>
      <c r="I45" s="2"/>
      <c r="N45" s="9"/>
    </row>
    <row r="46" spans="1:14" x14ac:dyDescent="0.2">
      <c r="A46" s="8">
        <v>303</v>
      </c>
      <c r="B46" s="4" t="s">
        <v>234</v>
      </c>
      <c r="C46" s="4"/>
      <c r="D46" s="11">
        <f>Tabel15789[[#This Row],['# tom green]]+Tabel15789[[#This Row],['#tom red]]</f>
        <v>38</v>
      </c>
      <c r="E46" s="2"/>
      <c r="F46" s="2"/>
      <c r="G46" s="2">
        <v>38</v>
      </c>
      <c r="H46" s="2">
        <v>315.44</v>
      </c>
      <c r="I46" s="2"/>
      <c r="N46" s="9"/>
    </row>
    <row r="47" spans="1:14" x14ac:dyDescent="0.2">
      <c r="A47" s="8">
        <v>303</v>
      </c>
      <c r="B47" s="4" t="s">
        <v>235</v>
      </c>
      <c r="C47" s="4"/>
      <c r="D47" s="11">
        <f>Tabel15789[[#This Row],['# tom green]]+Tabel15789[[#This Row],['#tom red]]</f>
        <v>26</v>
      </c>
      <c r="E47" s="2"/>
      <c r="F47" s="2"/>
      <c r="G47" s="2">
        <v>26</v>
      </c>
      <c r="H47" s="2">
        <v>213.45</v>
      </c>
      <c r="I47" s="2"/>
      <c r="N47" s="9"/>
    </row>
    <row r="48" spans="1:14" x14ac:dyDescent="0.2">
      <c r="A48" s="8">
        <v>303</v>
      </c>
      <c r="B48" s="4" t="s">
        <v>236</v>
      </c>
      <c r="C48" s="4"/>
      <c r="D48" s="11">
        <f>Tabel15789[[#This Row],['# tom green]]+Tabel15789[[#This Row],['#tom red]]</f>
        <v>45</v>
      </c>
      <c r="E48" s="2"/>
      <c r="F48" s="2"/>
      <c r="G48" s="2">
        <v>45</v>
      </c>
      <c r="H48" s="2">
        <v>398.8</v>
      </c>
      <c r="I48" s="2"/>
      <c r="N48" s="9"/>
    </row>
    <row r="49" spans="1:14" x14ac:dyDescent="0.2">
      <c r="A49" s="8">
        <v>303</v>
      </c>
      <c r="B49" s="4" t="s">
        <v>237</v>
      </c>
      <c r="C49" s="4"/>
      <c r="D49" s="11">
        <f>Tabel15789[[#This Row],['# tom green]]+Tabel15789[[#This Row],['#tom red]]</f>
        <v>24</v>
      </c>
      <c r="E49" s="2"/>
      <c r="F49" s="2"/>
      <c r="G49" s="2">
        <v>24</v>
      </c>
      <c r="H49" s="2">
        <v>173.09</v>
      </c>
      <c r="I49" s="2"/>
      <c r="N49" s="9"/>
    </row>
    <row r="50" spans="1:14" x14ac:dyDescent="0.2">
      <c r="A50" s="8">
        <v>303</v>
      </c>
      <c r="B50" s="4" t="s">
        <v>238</v>
      </c>
      <c r="C50" s="4"/>
      <c r="D50" s="11">
        <f>Tabel15789[[#This Row],['# tom green]]+Tabel15789[[#This Row],['#tom red]]</f>
        <v>22</v>
      </c>
      <c r="E50" s="2"/>
      <c r="F50" s="2"/>
      <c r="G50" s="2">
        <v>22</v>
      </c>
      <c r="H50" s="2">
        <v>152.13999999999999</v>
      </c>
      <c r="I50" s="2"/>
      <c r="N50" s="9"/>
    </row>
    <row r="51" spans="1:14" x14ac:dyDescent="0.2">
      <c r="A51" s="8">
        <v>303</v>
      </c>
      <c r="B51" s="4" t="s">
        <v>239</v>
      </c>
      <c r="C51" s="4"/>
      <c r="D51" s="11">
        <f>Tabel15789[[#This Row],['# tom green]]+Tabel15789[[#This Row],['#tom red]]</f>
        <v>38</v>
      </c>
      <c r="E51" s="2"/>
      <c r="F51" s="2"/>
      <c r="G51" s="2">
        <v>38</v>
      </c>
      <c r="H51" s="2">
        <v>275.68</v>
      </c>
      <c r="I51" s="2"/>
      <c r="N51" s="9"/>
    </row>
    <row r="52" spans="1:14" ht="16" thickBot="1" x14ac:dyDescent="0.25">
      <c r="N52" t="s">
        <v>102</v>
      </c>
    </row>
    <row r="53" spans="1:14" ht="16" thickBot="1" x14ac:dyDescent="0.25">
      <c r="A53" s="55" t="s">
        <v>327</v>
      </c>
      <c r="B53" s="44"/>
      <c r="C53" s="55">
        <f>SUM(C2:C31)</f>
        <v>8372.92</v>
      </c>
      <c r="D53" s="55">
        <f>SUM(D2:D31)</f>
        <v>1216</v>
      </c>
      <c r="E53" s="44">
        <f>SUM(E2:E51)</f>
        <v>270</v>
      </c>
      <c r="F53" s="55">
        <f>SUM(F2:F51)</f>
        <v>1258.1200000000003</v>
      </c>
      <c r="G53" s="55">
        <f>SUM(G2:G51)</f>
        <v>1660</v>
      </c>
      <c r="H53" s="45">
        <f>SUM(H2:H31)</f>
        <v>7114.8</v>
      </c>
      <c r="I53" s="55">
        <f>SUM(I2:I51)</f>
        <v>0</v>
      </c>
      <c r="J53" s="67">
        <f>I53/G53</f>
        <v>0</v>
      </c>
      <c r="N53" s="54">
        <f>(H53/C53)*100</f>
        <v>84.973939796391235</v>
      </c>
    </row>
    <row r="54" spans="1:14" ht="16" thickBot="1" x14ac:dyDescent="0.25">
      <c r="A54" s="57" t="s">
        <v>329</v>
      </c>
      <c r="H54" s="57">
        <f>SUM(H2:H51)</f>
        <v>12887.100000000002</v>
      </c>
      <c r="N54" s="9"/>
    </row>
    <row r="55" spans="1:14" x14ac:dyDescent="0.2">
      <c r="A55" s="58" t="s">
        <v>328</v>
      </c>
      <c r="B55" s="36"/>
      <c r="C55" s="37"/>
      <c r="D55" s="38"/>
      <c r="E55" s="41"/>
      <c r="F55" s="41"/>
      <c r="G55" s="41">
        <v>250</v>
      </c>
      <c r="H55" s="41">
        <v>1848.11</v>
      </c>
      <c r="I55" s="37"/>
      <c r="J55" s="37"/>
      <c r="K55" s="79" t="s">
        <v>325</v>
      </c>
      <c r="L55" s="80"/>
    </row>
    <row r="56" spans="1:14" x14ac:dyDescent="0.2">
      <c r="A56" s="57"/>
      <c r="B56" s="40"/>
      <c r="E56" s="2"/>
      <c r="F56" s="2"/>
      <c r="G56" s="2"/>
      <c r="H56" s="2">
        <v>132.75</v>
      </c>
      <c r="K56" s="81" t="s">
        <v>326</v>
      </c>
      <c r="L56" s="82"/>
    </row>
    <row r="57" spans="1:14" ht="16" thickBot="1" x14ac:dyDescent="0.25">
      <c r="A57" s="56"/>
      <c r="B57" s="39"/>
      <c r="C57" s="29"/>
      <c r="D57" s="53"/>
      <c r="E57" s="42"/>
      <c r="F57" s="43"/>
      <c r="G57" s="42"/>
      <c r="H57" s="43">
        <f>(H56/H55)*100</f>
        <v>7.1830139980845296</v>
      </c>
      <c r="I57" s="29"/>
      <c r="J57" s="29"/>
      <c r="K57" s="83" t="s">
        <v>323</v>
      </c>
      <c r="L57" s="84"/>
    </row>
    <row r="58" spans="1:14" ht="16" thickBot="1" x14ac:dyDescent="0.25">
      <c r="A58" s="55" t="s">
        <v>240</v>
      </c>
      <c r="B58" s="29"/>
      <c r="C58" s="29"/>
      <c r="D58" s="53"/>
      <c r="E58" s="29"/>
      <c r="F58" s="29"/>
      <c r="G58" s="29"/>
      <c r="H58" s="55">
        <f>AVERAGE(Tabel15789[FW red])</f>
        <v>257.74200000000002</v>
      </c>
    </row>
    <row r="60" spans="1:14" x14ac:dyDescent="0.2">
      <c r="B60" t="s">
        <v>333</v>
      </c>
      <c r="C60">
        <f>AVERAGE(C2:C31)</f>
        <v>279.09733333333332</v>
      </c>
    </row>
    <row r="61" spans="1:14" x14ac:dyDescent="0.2">
      <c r="B61" t="s">
        <v>40</v>
      </c>
      <c r="C61">
        <f>_xlfn.STDEV.S(C2:C51)/(SQRT(COUNT(C2:C7)))</f>
        <v>27.322602300569709</v>
      </c>
    </row>
    <row r="63" spans="1:14" x14ac:dyDescent="0.2">
      <c r="B63" t="s">
        <v>332</v>
      </c>
      <c r="C63">
        <f>AVERAGE(H2:H31)</f>
        <v>237.16</v>
      </c>
    </row>
    <row r="64" spans="1:14" x14ac:dyDescent="0.2">
      <c r="B64" t="s">
        <v>40</v>
      </c>
      <c r="C64">
        <f>_xlfn.STDEV.S(H2:H31)/(SQRT(COUNT(H2:H31)))</f>
        <v>10.446378055707108</v>
      </c>
    </row>
  </sheetData>
  <mergeCells count="3">
    <mergeCell ref="K55:L55"/>
    <mergeCell ref="K56:L56"/>
    <mergeCell ref="K57:L57"/>
  </mergeCells>
  <phoneticPr fontId="1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2AC31-D4EE-49A4-B017-439C4AA6954C}">
  <dimension ref="A1:N64"/>
  <sheetViews>
    <sheetView workbookViewId="0">
      <selection activeCell="B67" sqref="B67"/>
    </sheetView>
  </sheetViews>
  <sheetFormatPr baseColWidth="10" defaultColWidth="8.83203125" defaultRowHeight="15" x14ac:dyDescent="0.2"/>
  <cols>
    <col min="4" max="4" width="9.1640625" style="13"/>
    <col min="5" max="5" width="13.6640625" customWidth="1"/>
    <col min="6" max="6" width="11.83203125" customWidth="1"/>
    <col min="7" max="8" width="13.83203125" customWidth="1"/>
  </cols>
  <sheetData>
    <row r="1" spans="1:9" ht="16" thickBot="1" x14ac:dyDescent="0.25">
      <c r="A1" s="33" t="s">
        <v>324</v>
      </c>
      <c r="B1" s="19" t="s">
        <v>0</v>
      </c>
      <c r="C1" s="20" t="s">
        <v>74</v>
      </c>
      <c r="D1" s="21" t="s">
        <v>101</v>
      </c>
      <c r="E1" s="50" t="s">
        <v>71</v>
      </c>
      <c r="F1" s="50" t="s">
        <v>79</v>
      </c>
      <c r="G1" s="51" t="s">
        <v>73</v>
      </c>
      <c r="H1" s="51" t="s">
        <v>78</v>
      </c>
      <c r="I1" s="52" t="s">
        <v>100</v>
      </c>
    </row>
    <row r="2" spans="1:9" x14ac:dyDescent="0.2">
      <c r="A2" s="8">
        <v>301</v>
      </c>
      <c r="B2" s="4" t="s">
        <v>3</v>
      </c>
      <c r="C2" s="4">
        <f>SUM(F2,H2)</f>
        <v>318.16000000000003</v>
      </c>
      <c r="D2" s="12">
        <f>Tabel1578[[#This Row],['# tom green]]+Tabel1578[[#This Row],['#tom red]]</f>
        <v>47</v>
      </c>
      <c r="E2" s="2">
        <v>12</v>
      </c>
      <c r="F2" s="2">
        <v>40.93</v>
      </c>
      <c r="G2" s="2">
        <v>35</v>
      </c>
      <c r="H2" s="2">
        <v>277.23</v>
      </c>
      <c r="I2" s="2"/>
    </row>
    <row r="3" spans="1:9" x14ac:dyDescent="0.2">
      <c r="A3" s="8">
        <v>301</v>
      </c>
      <c r="B3" s="4" t="s">
        <v>4</v>
      </c>
      <c r="C3" s="4">
        <f t="shared" ref="C3:C10" si="0">SUM(F3,H3)</f>
        <v>186.11</v>
      </c>
      <c r="D3" s="10">
        <f>Tabel1578[[#This Row],['# tom green]]+Tabel1578[[#This Row],['#tom red]]</f>
        <v>25</v>
      </c>
      <c r="E3" s="2">
        <v>0</v>
      </c>
      <c r="F3" s="2">
        <v>0</v>
      </c>
      <c r="G3" s="2">
        <v>25</v>
      </c>
      <c r="H3" s="2">
        <v>186.11</v>
      </c>
      <c r="I3" s="2"/>
    </row>
    <row r="4" spans="1:9" x14ac:dyDescent="0.2">
      <c r="A4" s="8">
        <v>301</v>
      </c>
      <c r="B4" s="4" t="s">
        <v>5</v>
      </c>
      <c r="C4" s="4">
        <f t="shared" si="0"/>
        <v>202.45</v>
      </c>
      <c r="D4" s="10">
        <f>Tabel1578[[#This Row],['# tom green]]+Tabel1578[[#This Row],['#tom red]]</f>
        <v>28</v>
      </c>
      <c r="E4" s="2">
        <v>2</v>
      </c>
      <c r="F4" s="2">
        <v>9.66</v>
      </c>
      <c r="G4" s="2">
        <v>26</v>
      </c>
      <c r="H4" s="2">
        <v>192.79</v>
      </c>
      <c r="I4" s="2"/>
    </row>
    <row r="5" spans="1:9" x14ac:dyDescent="0.2">
      <c r="A5" s="8">
        <v>301</v>
      </c>
      <c r="B5" s="4" t="s">
        <v>6</v>
      </c>
      <c r="C5" s="4">
        <f t="shared" si="0"/>
        <v>137.65</v>
      </c>
      <c r="D5" s="10">
        <f>Tabel1578[[#This Row],['# tom green]]+Tabel1578[[#This Row],['#tom red]]</f>
        <v>21</v>
      </c>
      <c r="E5" s="2">
        <v>3</v>
      </c>
      <c r="F5" s="2">
        <v>6.18</v>
      </c>
      <c r="G5" s="2">
        <v>18</v>
      </c>
      <c r="H5" s="2">
        <v>131.47</v>
      </c>
      <c r="I5" s="2"/>
    </row>
    <row r="6" spans="1:9" x14ac:dyDescent="0.2">
      <c r="A6" s="8">
        <v>301</v>
      </c>
      <c r="B6" s="4" t="s">
        <v>7</v>
      </c>
      <c r="C6" s="4">
        <f t="shared" si="0"/>
        <v>208.32999999999998</v>
      </c>
      <c r="D6" s="10">
        <f>Tabel1578[[#This Row],['# tom green]]+Tabel1578[[#This Row],['#tom red]]</f>
        <v>29</v>
      </c>
      <c r="E6" s="2">
        <v>1</v>
      </c>
      <c r="F6" s="2">
        <v>2.16</v>
      </c>
      <c r="G6" s="2">
        <v>28</v>
      </c>
      <c r="H6" s="2">
        <v>206.17</v>
      </c>
      <c r="I6" s="2"/>
    </row>
    <row r="7" spans="1:9" x14ac:dyDescent="0.2">
      <c r="A7" s="8">
        <v>301</v>
      </c>
      <c r="B7" s="4" t="s">
        <v>8</v>
      </c>
      <c r="C7" s="4">
        <f t="shared" si="0"/>
        <v>296.61</v>
      </c>
      <c r="D7" s="11">
        <f>Tabel1578[[#This Row],['# tom green]]+Tabel1578[[#This Row],['#tom red]]</f>
        <v>35</v>
      </c>
      <c r="E7" s="2">
        <v>2</v>
      </c>
      <c r="F7" s="2">
        <v>11.97</v>
      </c>
      <c r="G7" s="2">
        <v>33</v>
      </c>
      <c r="H7" s="2">
        <v>284.64</v>
      </c>
      <c r="I7" s="2"/>
    </row>
    <row r="8" spans="1:9" x14ac:dyDescent="0.2">
      <c r="A8" s="8">
        <v>301</v>
      </c>
      <c r="B8" s="4" t="s">
        <v>241</v>
      </c>
      <c r="C8" s="4">
        <f t="shared" si="0"/>
        <v>279.33999999999997</v>
      </c>
      <c r="D8" s="11">
        <f>Tabel1578[[#This Row],['# tom green]]+Tabel1578[[#This Row],['#tom red]]</f>
        <v>37</v>
      </c>
      <c r="E8" s="2">
        <v>1</v>
      </c>
      <c r="F8" s="2">
        <v>2.7</v>
      </c>
      <c r="G8" s="2">
        <v>36</v>
      </c>
      <c r="H8" s="2">
        <v>276.64</v>
      </c>
      <c r="I8" s="2"/>
    </row>
    <row r="9" spans="1:9" x14ac:dyDescent="0.2">
      <c r="A9" s="8">
        <v>301</v>
      </c>
      <c r="B9" s="4" t="s">
        <v>242</v>
      </c>
      <c r="C9" s="4">
        <f t="shared" si="0"/>
        <v>360.4</v>
      </c>
      <c r="D9" s="11">
        <f>Tabel1578[[#This Row],['# tom green]]+Tabel1578[[#This Row],['#tom red]]</f>
        <v>51</v>
      </c>
      <c r="E9" s="2">
        <v>9</v>
      </c>
      <c r="F9" s="2">
        <v>23.33</v>
      </c>
      <c r="G9" s="2">
        <v>42</v>
      </c>
      <c r="H9" s="2">
        <v>337.07</v>
      </c>
      <c r="I9" s="2"/>
    </row>
    <row r="10" spans="1:9" x14ac:dyDescent="0.2">
      <c r="A10" s="8">
        <v>301</v>
      </c>
      <c r="B10" s="4" t="s">
        <v>243</v>
      </c>
      <c r="C10" s="4">
        <f t="shared" si="0"/>
        <v>280.10000000000002</v>
      </c>
      <c r="D10" s="11">
        <f>Tabel1578[[#This Row],['# tom green]]+Tabel1578[[#This Row],['#tom red]]</f>
        <v>48</v>
      </c>
      <c r="E10" s="2">
        <v>10</v>
      </c>
      <c r="F10" s="2">
        <v>25.98</v>
      </c>
      <c r="G10" s="2">
        <v>38</v>
      </c>
      <c r="H10" s="2">
        <v>254.12</v>
      </c>
      <c r="I10" s="2"/>
    </row>
    <row r="11" spans="1:9" x14ac:dyDescent="0.2">
      <c r="A11" s="8">
        <v>301</v>
      </c>
      <c r="B11" s="4" t="s">
        <v>244</v>
      </c>
      <c r="C11" s="4">
        <f t="shared" ref="C11:C31" si="1">SUM(F11,H11)</f>
        <v>277.03999999999996</v>
      </c>
      <c r="D11" s="11">
        <f>Tabel1578[[#This Row],['# tom green]]+Tabel1578[[#This Row],['#tom red]]</f>
        <v>33</v>
      </c>
      <c r="E11" s="2">
        <v>2</v>
      </c>
      <c r="F11" s="2">
        <v>5.34</v>
      </c>
      <c r="G11" s="2">
        <v>31</v>
      </c>
      <c r="H11" s="2">
        <v>271.7</v>
      </c>
      <c r="I11" s="2"/>
    </row>
    <row r="12" spans="1:9" x14ac:dyDescent="0.2">
      <c r="A12" s="8">
        <v>301</v>
      </c>
      <c r="B12" s="4" t="s">
        <v>245</v>
      </c>
      <c r="C12" s="4">
        <f t="shared" si="1"/>
        <v>307.61</v>
      </c>
      <c r="D12" s="11">
        <f>Tabel1578[[#This Row],['# tom green]]+Tabel1578[[#This Row],['#tom red]]</f>
        <v>39</v>
      </c>
      <c r="E12" s="2">
        <v>4</v>
      </c>
      <c r="F12" s="2">
        <v>9.69</v>
      </c>
      <c r="G12" s="2">
        <v>35</v>
      </c>
      <c r="H12" s="2">
        <v>297.92</v>
      </c>
      <c r="I12" s="2"/>
    </row>
    <row r="13" spans="1:9" x14ac:dyDescent="0.2">
      <c r="A13" s="8">
        <v>301</v>
      </c>
      <c r="B13" s="4" t="s">
        <v>246</v>
      </c>
      <c r="C13" s="4">
        <f t="shared" si="1"/>
        <v>237.64000000000001</v>
      </c>
      <c r="D13" s="11">
        <f>Tabel1578[[#This Row],['# tom green]]+Tabel1578[[#This Row],['#tom red]]</f>
        <v>36</v>
      </c>
      <c r="E13" s="2">
        <v>9</v>
      </c>
      <c r="F13" s="2">
        <v>24.99</v>
      </c>
      <c r="G13" s="2">
        <v>27</v>
      </c>
      <c r="H13" s="2">
        <v>212.65</v>
      </c>
      <c r="I13" s="2"/>
    </row>
    <row r="14" spans="1:9" x14ac:dyDescent="0.2">
      <c r="A14" s="8">
        <v>301</v>
      </c>
      <c r="B14" s="4" t="s">
        <v>247</v>
      </c>
      <c r="C14" s="4">
        <f t="shared" si="1"/>
        <v>317.34999999999997</v>
      </c>
      <c r="D14" s="11">
        <f>Tabel1578[[#This Row],['# tom green]]+Tabel1578[[#This Row],['#tom red]]</f>
        <v>42</v>
      </c>
      <c r="E14" s="2">
        <v>7</v>
      </c>
      <c r="F14" s="2">
        <v>20.34</v>
      </c>
      <c r="G14" s="2">
        <v>35</v>
      </c>
      <c r="H14" s="2">
        <v>297.01</v>
      </c>
      <c r="I14" s="2"/>
    </row>
    <row r="15" spans="1:9" x14ac:dyDescent="0.2">
      <c r="A15" s="8">
        <v>301</v>
      </c>
      <c r="B15" s="4" t="s">
        <v>248</v>
      </c>
      <c r="C15" s="4">
        <f t="shared" si="1"/>
        <v>227.82</v>
      </c>
      <c r="D15" s="11">
        <f>Tabel1578[[#This Row],['# tom green]]+Tabel1578[[#This Row],['#tom red]]</f>
        <v>31</v>
      </c>
      <c r="E15" s="2">
        <v>1</v>
      </c>
      <c r="F15" s="2">
        <v>2.98</v>
      </c>
      <c r="G15" s="2">
        <v>30</v>
      </c>
      <c r="H15" s="2">
        <v>224.84</v>
      </c>
      <c r="I15" s="2"/>
    </row>
    <row r="16" spans="1:9" x14ac:dyDescent="0.2">
      <c r="A16" s="8">
        <v>301</v>
      </c>
      <c r="B16" s="4" t="s">
        <v>249</v>
      </c>
      <c r="C16" s="4">
        <f t="shared" si="1"/>
        <v>292.39999999999998</v>
      </c>
      <c r="D16" s="11">
        <f>Tabel1578[[#This Row],['# tom green]]+Tabel1578[[#This Row],['#tom red]]</f>
        <v>38</v>
      </c>
      <c r="E16" s="2">
        <v>6</v>
      </c>
      <c r="F16" s="2">
        <v>16.53</v>
      </c>
      <c r="G16" s="2">
        <v>32</v>
      </c>
      <c r="H16" s="2">
        <v>275.87</v>
      </c>
      <c r="I16" s="2"/>
    </row>
    <row r="17" spans="1:14" x14ac:dyDescent="0.2">
      <c r="A17" s="8">
        <v>301</v>
      </c>
      <c r="B17" s="4" t="s">
        <v>250</v>
      </c>
      <c r="C17" s="4">
        <f t="shared" si="1"/>
        <v>348.38</v>
      </c>
      <c r="D17" s="11">
        <f>Tabel1578[[#This Row],['# tom green]]+Tabel1578[[#This Row],['#tom red]]</f>
        <v>44</v>
      </c>
      <c r="E17" s="2">
        <v>8</v>
      </c>
      <c r="F17" s="2">
        <v>40.14</v>
      </c>
      <c r="G17" s="2">
        <v>36</v>
      </c>
      <c r="H17" s="2">
        <v>308.24</v>
      </c>
      <c r="I17" s="2"/>
    </row>
    <row r="18" spans="1:14" x14ac:dyDescent="0.2">
      <c r="A18" s="8">
        <v>301</v>
      </c>
      <c r="B18" s="4" t="s">
        <v>251</v>
      </c>
      <c r="C18" s="4">
        <f t="shared" si="1"/>
        <v>295.15999999999997</v>
      </c>
      <c r="D18" s="11">
        <f>Tabel1578[[#This Row],['# tom green]]+Tabel1578[[#This Row],['#tom red]]</f>
        <v>37</v>
      </c>
      <c r="E18" s="2">
        <v>7</v>
      </c>
      <c r="F18" s="2">
        <v>23.52</v>
      </c>
      <c r="G18" s="2">
        <v>30</v>
      </c>
      <c r="H18" s="2">
        <v>271.64</v>
      </c>
      <c r="I18" s="2"/>
    </row>
    <row r="19" spans="1:14" x14ac:dyDescent="0.2">
      <c r="A19" s="8">
        <v>301</v>
      </c>
      <c r="B19" s="4" t="s">
        <v>252</v>
      </c>
      <c r="C19" s="4">
        <f t="shared" si="1"/>
        <v>357</v>
      </c>
      <c r="D19" s="11">
        <f>Tabel1578[[#This Row],['# tom green]]+Tabel1578[[#This Row],['#tom red]]</f>
        <v>58</v>
      </c>
      <c r="E19" s="2">
        <v>7</v>
      </c>
      <c r="F19" s="2">
        <v>14.87</v>
      </c>
      <c r="G19" s="2">
        <v>51</v>
      </c>
      <c r="H19" s="2">
        <v>342.13</v>
      </c>
      <c r="I19" s="2"/>
    </row>
    <row r="20" spans="1:14" x14ac:dyDescent="0.2">
      <c r="A20" s="8">
        <v>301</v>
      </c>
      <c r="B20" s="4" t="s">
        <v>253</v>
      </c>
      <c r="C20" s="4">
        <f t="shared" si="1"/>
        <v>349.52</v>
      </c>
      <c r="D20" s="11">
        <f>Tabel1578[[#This Row],['# tom green]]+Tabel1578[[#This Row],['#tom red]]</f>
        <v>43</v>
      </c>
      <c r="E20" s="2">
        <v>3</v>
      </c>
      <c r="F20" s="2">
        <v>13.93</v>
      </c>
      <c r="G20" s="2">
        <v>40</v>
      </c>
      <c r="H20" s="2">
        <v>335.59</v>
      </c>
      <c r="I20" s="2"/>
    </row>
    <row r="21" spans="1:14" x14ac:dyDescent="0.2">
      <c r="A21" s="8">
        <v>301</v>
      </c>
      <c r="B21" s="4" t="s">
        <v>254</v>
      </c>
      <c r="C21" s="4">
        <f t="shared" si="1"/>
        <v>197.46</v>
      </c>
      <c r="D21" s="11">
        <f>Tabel1578[[#This Row],['# tom green]]+Tabel1578[[#This Row],['#tom red]]</f>
        <v>28</v>
      </c>
      <c r="E21" s="2">
        <v>4</v>
      </c>
      <c r="F21" s="2">
        <v>10.35</v>
      </c>
      <c r="G21" s="2">
        <v>24</v>
      </c>
      <c r="H21" s="2">
        <v>187.11</v>
      </c>
      <c r="I21" s="2"/>
    </row>
    <row r="22" spans="1:14" x14ac:dyDescent="0.2">
      <c r="A22" s="8">
        <v>301</v>
      </c>
      <c r="B22" s="4" t="s">
        <v>255</v>
      </c>
      <c r="C22" s="4">
        <f t="shared" si="1"/>
        <v>291.45</v>
      </c>
      <c r="D22" s="11">
        <f>Tabel1578[[#This Row],['# tom green]]+Tabel1578[[#This Row],['#tom red]]</f>
        <v>38</v>
      </c>
      <c r="E22" s="2">
        <v>8</v>
      </c>
      <c r="F22" s="2">
        <v>27.88</v>
      </c>
      <c r="G22" s="2">
        <v>30</v>
      </c>
      <c r="H22" s="2">
        <v>263.57</v>
      </c>
      <c r="I22" s="2"/>
    </row>
    <row r="23" spans="1:14" x14ac:dyDescent="0.2">
      <c r="A23" s="8">
        <v>301</v>
      </c>
      <c r="B23" s="4" t="s">
        <v>256</v>
      </c>
      <c r="C23" s="4">
        <f t="shared" si="1"/>
        <v>246.56</v>
      </c>
      <c r="D23" s="11">
        <f>Tabel1578[[#This Row],['# tom green]]+Tabel1578[[#This Row],['#tom red]]</f>
        <v>31</v>
      </c>
      <c r="E23" s="2">
        <v>0</v>
      </c>
      <c r="F23" s="2">
        <v>0</v>
      </c>
      <c r="G23" s="2">
        <v>31</v>
      </c>
      <c r="H23" s="2">
        <v>246.56</v>
      </c>
      <c r="I23" s="2"/>
    </row>
    <row r="24" spans="1:14" x14ac:dyDescent="0.2">
      <c r="A24" s="8">
        <v>301</v>
      </c>
      <c r="B24" s="4" t="s">
        <v>257</v>
      </c>
      <c r="C24" s="4">
        <f t="shared" si="1"/>
        <v>330.37</v>
      </c>
      <c r="D24" s="11">
        <f>Tabel1578[[#This Row],['# tom green]]+Tabel1578[[#This Row],['#tom red]]</f>
        <v>40</v>
      </c>
      <c r="E24" s="2">
        <v>4</v>
      </c>
      <c r="F24" s="2">
        <v>16.02</v>
      </c>
      <c r="G24" s="2">
        <v>36</v>
      </c>
      <c r="H24" s="2">
        <v>314.35000000000002</v>
      </c>
      <c r="I24" s="2"/>
    </row>
    <row r="25" spans="1:14" x14ac:dyDescent="0.2">
      <c r="A25" s="8">
        <v>301</v>
      </c>
      <c r="B25" s="4" t="s">
        <v>258</v>
      </c>
      <c r="C25" s="4">
        <f t="shared" si="1"/>
        <v>488.01000000000005</v>
      </c>
      <c r="D25" s="11">
        <f>Tabel1578[[#This Row],['# tom green]]+Tabel1578[[#This Row],['#tom red]]</f>
        <v>74</v>
      </c>
      <c r="E25" s="2">
        <v>21</v>
      </c>
      <c r="F25" s="2">
        <v>65.290000000000006</v>
      </c>
      <c r="G25" s="2">
        <v>53</v>
      </c>
      <c r="H25" s="2">
        <v>422.72</v>
      </c>
      <c r="I25" s="2"/>
    </row>
    <row r="26" spans="1:14" x14ac:dyDescent="0.2">
      <c r="A26" s="8">
        <v>301</v>
      </c>
      <c r="B26" s="4" t="s">
        <v>259</v>
      </c>
      <c r="C26" s="4">
        <f t="shared" si="1"/>
        <v>313.08999999999997</v>
      </c>
      <c r="D26" s="11">
        <f>Tabel1578[[#This Row],['# tom green]]+Tabel1578[[#This Row],['#tom red]]</f>
        <v>38</v>
      </c>
      <c r="E26" s="2">
        <v>2</v>
      </c>
      <c r="F26" s="2">
        <v>5.65</v>
      </c>
      <c r="G26" s="2">
        <v>36</v>
      </c>
      <c r="H26" s="2">
        <v>307.44</v>
      </c>
      <c r="I26" s="2"/>
    </row>
    <row r="27" spans="1:14" x14ac:dyDescent="0.2">
      <c r="A27" s="8">
        <v>301</v>
      </c>
      <c r="B27" s="4" t="s">
        <v>260</v>
      </c>
      <c r="C27" s="4">
        <f t="shared" si="1"/>
        <v>367.22</v>
      </c>
      <c r="D27" s="11">
        <f>Tabel1578[[#This Row],['# tom green]]+Tabel1578[[#This Row],['#tom red]]</f>
        <v>47</v>
      </c>
      <c r="E27" s="2">
        <v>7</v>
      </c>
      <c r="F27" s="2">
        <v>32.92</v>
      </c>
      <c r="G27" s="2">
        <v>40</v>
      </c>
      <c r="H27" s="2">
        <v>334.3</v>
      </c>
      <c r="I27" s="2"/>
    </row>
    <row r="28" spans="1:14" x14ac:dyDescent="0.2">
      <c r="A28" s="8">
        <v>301</v>
      </c>
      <c r="B28" s="4" t="s">
        <v>261</v>
      </c>
      <c r="C28" s="4">
        <f t="shared" si="1"/>
        <v>362.26</v>
      </c>
      <c r="D28" s="11">
        <f>Tabel1578[[#This Row],['# tom green]]+Tabel1578[[#This Row],['#tom red]]</f>
        <v>53</v>
      </c>
      <c r="E28" s="2">
        <v>11</v>
      </c>
      <c r="F28" s="2">
        <v>33.200000000000003</v>
      </c>
      <c r="G28" s="2">
        <v>42</v>
      </c>
      <c r="H28" s="2">
        <v>329.06</v>
      </c>
      <c r="I28" s="2"/>
    </row>
    <row r="29" spans="1:14" x14ac:dyDescent="0.2">
      <c r="A29" s="8">
        <v>301</v>
      </c>
      <c r="B29" s="4" t="s">
        <v>262</v>
      </c>
      <c r="C29" s="4">
        <f t="shared" si="1"/>
        <v>258.25</v>
      </c>
      <c r="D29" s="11">
        <f>Tabel1578[[#This Row],['# tom green]]+Tabel1578[[#This Row],['#tom red]]</f>
        <v>32</v>
      </c>
      <c r="E29" s="2">
        <v>2</v>
      </c>
      <c r="F29" s="2">
        <v>10.23</v>
      </c>
      <c r="G29" s="2">
        <v>30</v>
      </c>
      <c r="H29" s="2">
        <v>248.02</v>
      </c>
      <c r="I29" s="2"/>
    </row>
    <row r="30" spans="1:14" x14ac:dyDescent="0.2">
      <c r="A30" s="8">
        <v>301</v>
      </c>
      <c r="B30" s="4" t="s">
        <v>263</v>
      </c>
      <c r="C30" s="4">
        <f t="shared" si="1"/>
        <v>336.83</v>
      </c>
      <c r="D30" s="11">
        <f>Tabel1578[[#This Row],['# tom green]]+Tabel1578[[#This Row],['#tom red]]</f>
        <v>44</v>
      </c>
      <c r="E30" s="2">
        <v>8</v>
      </c>
      <c r="F30" s="2">
        <v>37.32</v>
      </c>
      <c r="G30" s="2">
        <v>36</v>
      </c>
      <c r="H30" s="2">
        <v>299.51</v>
      </c>
      <c r="I30" s="2"/>
    </row>
    <row r="31" spans="1:14" x14ac:dyDescent="0.2">
      <c r="A31" s="8">
        <v>301</v>
      </c>
      <c r="B31" s="4" t="s">
        <v>264</v>
      </c>
      <c r="C31" s="4">
        <f t="shared" si="1"/>
        <v>193.34</v>
      </c>
      <c r="D31" s="11">
        <f>Tabel1578[[#This Row],['# tom green]]+Tabel1578[[#This Row],['#tom red]]</f>
        <v>25</v>
      </c>
      <c r="E31" s="2">
        <v>0</v>
      </c>
      <c r="F31" s="2">
        <v>0</v>
      </c>
      <c r="G31" s="2">
        <v>25</v>
      </c>
      <c r="H31" s="2">
        <v>193.34</v>
      </c>
      <c r="I31" s="2"/>
      <c r="N31" s="9"/>
    </row>
    <row r="32" spans="1:14" x14ac:dyDescent="0.2">
      <c r="A32" s="8">
        <v>301</v>
      </c>
      <c r="B32" s="4" t="s">
        <v>265</v>
      </c>
      <c r="C32" s="4"/>
      <c r="D32" s="11">
        <f>Tabel1578[[#This Row],['# tom green]]+Tabel1578[[#This Row],['#tom red]]</f>
        <v>37</v>
      </c>
      <c r="E32" s="2"/>
      <c r="F32" s="2"/>
      <c r="G32" s="2">
        <v>37</v>
      </c>
      <c r="H32" s="2">
        <v>322.69</v>
      </c>
      <c r="I32" s="2"/>
      <c r="N32" s="9"/>
    </row>
    <row r="33" spans="1:14" x14ac:dyDescent="0.2">
      <c r="A33" s="8">
        <v>301</v>
      </c>
      <c r="B33" s="4" t="s">
        <v>266</v>
      </c>
      <c r="C33" s="4"/>
      <c r="D33" s="11">
        <f>Tabel1578[[#This Row],['# tom green]]+Tabel1578[[#This Row],['#tom red]]</f>
        <v>25</v>
      </c>
      <c r="E33" s="2"/>
      <c r="F33" s="2"/>
      <c r="G33" s="2">
        <v>25</v>
      </c>
      <c r="H33" s="2">
        <v>162.11000000000001</v>
      </c>
      <c r="I33" s="2"/>
      <c r="N33" s="9"/>
    </row>
    <row r="34" spans="1:14" x14ac:dyDescent="0.2">
      <c r="A34" s="8">
        <v>301</v>
      </c>
      <c r="B34" s="4" t="s">
        <v>267</v>
      </c>
      <c r="C34" s="4"/>
      <c r="D34" s="11">
        <f>Tabel1578[[#This Row],['# tom green]]+Tabel1578[[#This Row],['#tom red]]</f>
        <v>34</v>
      </c>
      <c r="E34" s="2"/>
      <c r="F34" s="2"/>
      <c r="G34" s="2">
        <v>34</v>
      </c>
      <c r="H34" s="2">
        <v>304.52</v>
      </c>
      <c r="I34" s="2"/>
      <c r="N34" s="9"/>
    </row>
    <row r="35" spans="1:14" x14ac:dyDescent="0.2">
      <c r="A35" s="8">
        <v>301</v>
      </c>
      <c r="B35" s="4" t="s">
        <v>268</v>
      </c>
      <c r="C35" s="4"/>
      <c r="D35" s="11">
        <f>Tabel1578[[#This Row],['# tom green]]+Tabel1578[[#This Row],['#tom red]]</f>
        <v>29</v>
      </c>
      <c r="E35" s="2"/>
      <c r="F35" s="2"/>
      <c r="G35" s="2">
        <v>29</v>
      </c>
      <c r="H35" s="2">
        <v>264.68</v>
      </c>
      <c r="I35" s="2"/>
      <c r="N35" s="9"/>
    </row>
    <row r="36" spans="1:14" x14ac:dyDescent="0.2">
      <c r="A36" s="8">
        <v>301</v>
      </c>
      <c r="B36" s="4" t="s">
        <v>269</v>
      </c>
      <c r="C36" s="4"/>
      <c r="D36" s="11">
        <f>Tabel1578[[#This Row],['# tom green]]+Tabel1578[[#This Row],['#tom red]]</f>
        <v>40</v>
      </c>
      <c r="E36" s="2"/>
      <c r="F36" s="2"/>
      <c r="G36" s="2">
        <v>40</v>
      </c>
      <c r="H36" s="2">
        <v>306.72000000000003</v>
      </c>
      <c r="I36" s="2"/>
      <c r="N36" s="9"/>
    </row>
    <row r="37" spans="1:14" x14ac:dyDescent="0.2">
      <c r="A37" s="8">
        <v>301</v>
      </c>
      <c r="B37" s="4" t="s">
        <v>270</v>
      </c>
      <c r="C37" s="4"/>
      <c r="D37" s="11">
        <f>Tabel1578[[#This Row],['# tom green]]+Tabel1578[[#This Row],['#tom red]]</f>
        <v>40</v>
      </c>
      <c r="E37" s="2"/>
      <c r="F37" s="2"/>
      <c r="G37" s="2">
        <v>40</v>
      </c>
      <c r="H37" s="2">
        <v>330.18</v>
      </c>
      <c r="I37" s="2"/>
      <c r="N37" s="9"/>
    </row>
    <row r="38" spans="1:14" x14ac:dyDescent="0.2">
      <c r="A38" s="8">
        <v>301</v>
      </c>
      <c r="B38" s="4" t="s">
        <v>271</v>
      </c>
      <c r="C38" s="4"/>
      <c r="D38" s="11">
        <f>Tabel1578[[#This Row],['# tom green]]+Tabel1578[[#This Row],['#tom red]]</f>
        <v>35</v>
      </c>
      <c r="E38" s="2"/>
      <c r="F38" s="2"/>
      <c r="G38" s="2">
        <v>35</v>
      </c>
      <c r="H38" s="2">
        <v>344.55</v>
      </c>
      <c r="I38" s="2"/>
      <c r="N38" s="9"/>
    </row>
    <row r="39" spans="1:14" x14ac:dyDescent="0.2">
      <c r="A39" s="8">
        <v>301</v>
      </c>
      <c r="B39" s="4" t="s">
        <v>272</v>
      </c>
      <c r="C39" s="4"/>
      <c r="D39" s="11">
        <f>Tabel1578[[#This Row],['# tom green]]+Tabel1578[[#This Row],['#tom red]]</f>
        <v>32</v>
      </c>
      <c r="E39" s="2"/>
      <c r="F39" s="2"/>
      <c r="G39" s="2">
        <v>32</v>
      </c>
      <c r="H39" s="2">
        <v>257.49</v>
      </c>
      <c r="I39" s="2"/>
      <c r="N39" s="9"/>
    </row>
    <row r="40" spans="1:14" x14ac:dyDescent="0.2">
      <c r="A40" s="8">
        <v>301</v>
      </c>
      <c r="B40" s="4" t="s">
        <v>273</v>
      </c>
      <c r="C40" s="4"/>
      <c r="D40" s="11">
        <f>Tabel1578[[#This Row],['# tom green]]+Tabel1578[[#This Row],['#tom red]]</f>
        <v>46</v>
      </c>
      <c r="E40" s="2"/>
      <c r="F40" s="2"/>
      <c r="G40" s="2">
        <v>46</v>
      </c>
      <c r="H40" s="2">
        <v>421.46</v>
      </c>
      <c r="I40" s="2"/>
      <c r="N40" s="9"/>
    </row>
    <row r="41" spans="1:14" x14ac:dyDescent="0.2">
      <c r="A41" s="8">
        <v>301</v>
      </c>
      <c r="B41" s="4" t="s">
        <v>274</v>
      </c>
      <c r="C41" s="4"/>
      <c r="D41" s="11">
        <f>Tabel1578[[#This Row],['# tom green]]+Tabel1578[[#This Row],['#tom red]]</f>
        <v>36</v>
      </c>
      <c r="E41" s="2"/>
      <c r="F41" s="2"/>
      <c r="G41" s="2">
        <v>36</v>
      </c>
      <c r="H41" s="2">
        <v>287.48</v>
      </c>
      <c r="I41" s="2"/>
      <c r="N41" s="9"/>
    </row>
    <row r="42" spans="1:14" x14ac:dyDescent="0.2">
      <c r="A42" s="8">
        <v>301</v>
      </c>
      <c r="B42" s="4" t="s">
        <v>275</v>
      </c>
      <c r="C42" s="4"/>
      <c r="D42" s="11">
        <f>Tabel1578[[#This Row],['# tom green]]+Tabel1578[[#This Row],['#tom red]]</f>
        <v>38</v>
      </c>
      <c r="E42" s="2"/>
      <c r="F42" s="2"/>
      <c r="G42" s="2">
        <v>38</v>
      </c>
      <c r="H42" s="2">
        <v>327.07</v>
      </c>
      <c r="I42" s="2"/>
      <c r="N42" s="9"/>
    </row>
    <row r="43" spans="1:14" x14ac:dyDescent="0.2">
      <c r="A43" s="8">
        <v>301</v>
      </c>
      <c r="B43" s="4" t="s">
        <v>276</v>
      </c>
      <c r="C43" s="4"/>
      <c r="D43" s="11">
        <f>Tabel1578[[#This Row],['# tom green]]+Tabel1578[[#This Row],['#tom red]]</f>
        <v>36</v>
      </c>
      <c r="E43" s="2"/>
      <c r="F43" s="2"/>
      <c r="G43" s="2">
        <v>36</v>
      </c>
      <c r="H43" s="2">
        <v>256.32</v>
      </c>
      <c r="I43" s="2"/>
      <c r="N43" s="9"/>
    </row>
    <row r="44" spans="1:14" x14ac:dyDescent="0.2">
      <c r="A44" s="8">
        <v>301</v>
      </c>
      <c r="B44" s="4" t="s">
        <v>277</v>
      </c>
      <c r="C44" s="4"/>
      <c r="D44" s="11">
        <f>Tabel1578[[#This Row],['# tom green]]+Tabel1578[[#This Row],['#tom red]]</f>
        <v>42</v>
      </c>
      <c r="E44" s="2"/>
      <c r="F44" s="2"/>
      <c r="G44" s="2">
        <v>42</v>
      </c>
      <c r="H44" s="2">
        <v>332.99</v>
      </c>
      <c r="I44" s="2"/>
      <c r="N44" s="9"/>
    </row>
    <row r="45" spans="1:14" x14ac:dyDescent="0.2">
      <c r="A45" s="8">
        <v>301</v>
      </c>
      <c r="B45" s="4" t="s">
        <v>278</v>
      </c>
      <c r="C45" s="4"/>
      <c r="D45" s="11">
        <f>Tabel1578[[#This Row],['# tom green]]+Tabel1578[[#This Row],['#tom red]]</f>
        <v>36</v>
      </c>
      <c r="E45" s="2"/>
      <c r="F45" s="2"/>
      <c r="G45" s="2">
        <v>36</v>
      </c>
      <c r="H45" s="2">
        <v>304.41000000000003</v>
      </c>
      <c r="I45" s="2"/>
      <c r="N45" s="9"/>
    </row>
    <row r="46" spans="1:14" x14ac:dyDescent="0.2">
      <c r="A46" s="8">
        <v>301</v>
      </c>
      <c r="B46" s="4" t="s">
        <v>279</v>
      </c>
      <c r="C46" s="4"/>
      <c r="D46" s="11">
        <f>Tabel1578[[#This Row],['# tom green]]+Tabel1578[[#This Row],['#tom red]]</f>
        <v>26</v>
      </c>
      <c r="E46" s="2"/>
      <c r="F46" s="2"/>
      <c r="G46" s="2">
        <v>26</v>
      </c>
      <c r="H46" s="2">
        <v>241.18</v>
      </c>
      <c r="I46" s="2"/>
      <c r="N46" s="9"/>
    </row>
    <row r="47" spans="1:14" x14ac:dyDescent="0.2">
      <c r="A47" s="8">
        <v>301</v>
      </c>
      <c r="B47" s="4" t="s">
        <v>280</v>
      </c>
      <c r="C47" s="4"/>
      <c r="D47" s="11">
        <f>Tabel1578[[#This Row],['# tom green]]+Tabel1578[[#This Row],['#tom red]]</f>
        <v>39</v>
      </c>
      <c r="E47" s="2"/>
      <c r="F47" s="2"/>
      <c r="G47" s="2">
        <v>39</v>
      </c>
      <c r="H47" s="2">
        <v>290.97000000000003</v>
      </c>
      <c r="I47" s="2"/>
      <c r="N47" s="9"/>
    </row>
    <row r="48" spans="1:14" x14ac:dyDescent="0.2">
      <c r="A48" s="8">
        <v>301</v>
      </c>
      <c r="B48" s="4" t="s">
        <v>281</v>
      </c>
      <c r="C48" s="4"/>
      <c r="D48" s="11">
        <f>Tabel1578[[#This Row],['# tom green]]+Tabel1578[[#This Row],['#tom red]]</f>
        <v>36</v>
      </c>
      <c r="E48" s="2"/>
      <c r="F48" s="2"/>
      <c r="G48" s="2">
        <v>36</v>
      </c>
      <c r="H48" s="2">
        <v>340.52</v>
      </c>
      <c r="I48" s="2"/>
      <c r="N48" s="9"/>
    </row>
    <row r="49" spans="1:14" x14ac:dyDescent="0.2">
      <c r="A49" s="8">
        <v>301</v>
      </c>
      <c r="B49" s="4" t="s">
        <v>282</v>
      </c>
      <c r="C49" s="4"/>
      <c r="D49" s="11">
        <f>Tabel1578[[#This Row],['# tom green]]+Tabel1578[[#This Row],['#tom red]]</f>
        <v>37</v>
      </c>
      <c r="E49" s="2"/>
      <c r="F49" s="2"/>
      <c r="G49" s="2">
        <v>37</v>
      </c>
      <c r="H49" s="2">
        <v>334.74</v>
      </c>
      <c r="I49" s="2"/>
      <c r="N49" s="9"/>
    </row>
    <row r="50" spans="1:14" x14ac:dyDescent="0.2">
      <c r="A50" s="8">
        <v>301</v>
      </c>
      <c r="B50" s="4" t="s">
        <v>283</v>
      </c>
      <c r="C50" s="4"/>
      <c r="D50" s="11">
        <f>Tabel1578[[#This Row],['# tom green]]+Tabel1578[[#This Row],['#tom red]]</f>
        <v>30</v>
      </c>
      <c r="E50" s="2"/>
      <c r="F50" s="2"/>
      <c r="G50" s="2">
        <v>30</v>
      </c>
      <c r="H50" s="2">
        <v>206.97</v>
      </c>
      <c r="I50" s="2"/>
      <c r="N50" s="9"/>
    </row>
    <row r="51" spans="1:14" x14ac:dyDescent="0.2">
      <c r="A51" s="8">
        <v>301</v>
      </c>
      <c r="B51" s="4" t="s">
        <v>284</v>
      </c>
      <c r="C51" s="4"/>
      <c r="D51" s="11">
        <f>Tabel1578[[#This Row],['# tom green]]+Tabel1578[[#This Row],['#tom red]]</f>
        <v>43</v>
      </c>
      <c r="E51" s="2"/>
      <c r="F51" s="2"/>
      <c r="G51" s="2">
        <v>43</v>
      </c>
      <c r="H51" s="2">
        <v>370.86</v>
      </c>
      <c r="I51" s="2"/>
      <c r="N51" s="9"/>
    </row>
    <row r="52" spans="1:14" ht="16" thickBot="1" x14ac:dyDescent="0.25">
      <c r="N52" t="s">
        <v>102</v>
      </c>
    </row>
    <row r="53" spans="1:14" ht="16" thickBot="1" x14ac:dyDescent="0.25">
      <c r="A53" s="55" t="s">
        <v>327</v>
      </c>
      <c r="B53" s="44"/>
      <c r="C53" s="55">
        <f>SUM(C2:C31)</f>
        <v>8663.9100000000017</v>
      </c>
      <c r="D53" s="55">
        <f>SUM(D2:D31)</f>
        <v>1172</v>
      </c>
      <c r="E53" s="44">
        <f>SUM(E2:E51)</f>
        <v>161</v>
      </c>
      <c r="F53" s="55">
        <f>SUM(F2:F51)</f>
        <v>534.1</v>
      </c>
      <c r="G53" s="55">
        <f>SUM(G2:G31)</f>
        <v>1011</v>
      </c>
      <c r="H53" s="45">
        <f>SUM(H2:H31)</f>
        <v>8129.8100000000013</v>
      </c>
      <c r="I53" s="55">
        <f>SUM(I2:I51)</f>
        <v>0</v>
      </c>
      <c r="J53" s="67">
        <f>I53/G53</f>
        <v>0</v>
      </c>
      <c r="N53" s="54">
        <f>(H53/C53)*100</f>
        <v>93.835346858404577</v>
      </c>
    </row>
    <row r="54" spans="1:14" ht="16" thickBot="1" x14ac:dyDescent="0.25">
      <c r="A54" s="57" t="s">
        <v>329</v>
      </c>
      <c r="H54" s="57">
        <f>SUM(H2:H51)</f>
        <v>14137.72</v>
      </c>
      <c r="N54" s="9"/>
    </row>
    <row r="55" spans="1:14" x14ac:dyDescent="0.2">
      <c r="A55" s="58" t="s">
        <v>328</v>
      </c>
      <c r="B55" s="36"/>
      <c r="C55" s="37"/>
      <c r="E55" s="41"/>
      <c r="F55" s="41"/>
      <c r="G55" s="41">
        <v>250</v>
      </c>
      <c r="H55" s="41">
        <v>2086.9899999999998</v>
      </c>
      <c r="I55" s="37"/>
      <c r="J55" s="37"/>
      <c r="K55" s="79" t="s">
        <v>325</v>
      </c>
      <c r="L55" s="80"/>
    </row>
    <row r="56" spans="1:14" x14ac:dyDescent="0.2">
      <c r="A56" s="57"/>
      <c r="B56" s="40"/>
      <c r="E56" s="2"/>
      <c r="F56" s="2"/>
      <c r="G56" s="2"/>
      <c r="H56" s="2">
        <v>126.08</v>
      </c>
      <c r="K56" s="81" t="s">
        <v>326</v>
      </c>
      <c r="L56" s="82"/>
    </row>
    <row r="57" spans="1:14" ht="16" thickBot="1" x14ac:dyDescent="0.25">
      <c r="A57" s="56"/>
      <c r="B57" s="39"/>
      <c r="C57" s="29"/>
      <c r="D57" s="53"/>
      <c r="E57" s="42"/>
      <c r="F57" s="43"/>
      <c r="G57" s="42"/>
      <c r="H57" s="43">
        <f>(H56/H55)*100</f>
        <v>6.0412364218323997</v>
      </c>
      <c r="I57" s="29"/>
      <c r="J57" s="29"/>
      <c r="K57" s="83" t="s">
        <v>323</v>
      </c>
      <c r="L57" s="84"/>
    </row>
    <row r="58" spans="1:14" ht="16" thickBot="1" x14ac:dyDescent="0.25">
      <c r="A58" s="55" t="s">
        <v>240</v>
      </c>
      <c r="B58" s="29"/>
      <c r="C58" s="29"/>
      <c r="D58" s="38">
        <f>C53/D53</f>
        <v>7.3924146757679194</v>
      </c>
      <c r="E58" s="29"/>
      <c r="F58" s="29"/>
      <c r="G58" s="29"/>
      <c r="H58" s="55">
        <f>AVERAGE(Tabel1578[FW red])</f>
        <v>282.75439999999998</v>
      </c>
    </row>
    <row r="60" spans="1:14" x14ac:dyDescent="0.2">
      <c r="B60" s="70" t="s">
        <v>333</v>
      </c>
      <c r="C60" s="71">
        <f>AVERAGE(C2:C31)</f>
        <v>288.79700000000008</v>
      </c>
    </row>
    <row r="61" spans="1:14" x14ac:dyDescent="0.2">
      <c r="B61" s="59" t="s">
        <v>40</v>
      </c>
      <c r="C61" s="35">
        <f>_xlfn.STDEV.S(C2:C51)/(SQRT(COUNT(C2:C7)))</f>
        <v>29.278518608299663</v>
      </c>
    </row>
    <row r="62" spans="1:14" x14ac:dyDescent="0.2">
      <c r="B62" s="59"/>
      <c r="C62" s="35"/>
    </row>
    <row r="63" spans="1:14" x14ac:dyDescent="0.2">
      <c r="B63" s="59" t="s">
        <v>332</v>
      </c>
      <c r="C63" s="35">
        <f>AVERAGE(H2:H31)</f>
        <v>270.99366666666668</v>
      </c>
    </row>
    <row r="64" spans="1:14" x14ac:dyDescent="0.2">
      <c r="B64" s="72" t="s">
        <v>40</v>
      </c>
      <c r="C64" s="34">
        <f>_xlfn.STDEV.S(H2:H31)/(SQRT(COUNT(H2:H31)))</f>
        <v>11.149295359244134</v>
      </c>
    </row>
  </sheetData>
  <mergeCells count="3">
    <mergeCell ref="K55:L55"/>
    <mergeCell ref="K56:L56"/>
    <mergeCell ref="K57:L57"/>
  </mergeCells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0D9A3-EBE7-46F9-81D4-6F1DF8D71B4D}">
  <dimension ref="A1:N64"/>
  <sheetViews>
    <sheetView workbookViewId="0">
      <selection activeCell="M24" sqref="M24"/>
    </sheetView>
  </sheetViews>
  <sheetFormatPr baseColWidth="10" defaultColWidth="8.83203125" defaultRowHeight="15" x14ac:dyDescent="0.2"/>
  <cols>
    <col min="4" max="4" width="8.83203125" style="13"/>
    <col min="5" max="5" width="13.6640625" customWidth="1"/>
    <col min="6" max="6" width="11.83203125" customWidth="1"/>
    <col min="7" max="8" width="13.83203125" customWidth="1"/>
  </cols>
  <sheetData>
    <row r="1" spans="1:14" x14ac:dyDescent="0.2">
      <c r="A1" s="46" t="s">
        <v>324</v>
      </c>
      <c r="B1" s="47" t="s">
        <v>0</v>
      </c>
      <c r="C1" s="48" t="s">
        <v>74</v>
      </c>
      <c r="D1" s="49" t="s">
        <v>101</v>
      </c>
      <c r="E1" s="50" t="s">
        <v>71</v>
      </c>
      <c r="F1" s="50" t="s">
        <v>79</v>
      </c>
      <c r="G1" s="51" t="s">
        <v>73</v>
      </c>
      <c r="H1" s="51" t="s">
        <v>78</v>
      </c>
      <c r="I1" s="52" t="s">
        <v>100</v>
      </c>
    </row>
    <row r="2" spans="1:14" x14ac:dyDescent="0.2">
      <c r="A2" s="2">
        <v>308</v>
      </c>
      <c r="B2" s="2" t="s">
        <v>33</v>
      </c>
      <c r="C2" s="2">
        <f>SUM(F2,H2)</f>
        <v>294.71999999999997</v>
      </c>
      <c r="D2" s="10">
        <f>Tabel157810[[#This Row],['# tom green]]+Tabel157810[[#This Row],['#tom red]]</f>
        <v>41</v>
      </c>
      <c r="E2" s="2">
        <v>7</v>
      </c>
      <c r="F2" s="2">
        <v>20.09</v>
      </c>
      <c r="G2" s="2">
        <v>34</v>
      </c>
      <c r="H2" s="2">
        <v>274.63</v>
      </c>
      <c r="I2" s="2"/>
      <c r="N2" s="9"/>
    </row>
    <row r="3" spans="1:14" x14ac:dyDescent="0.2">
      <c r="A3" s="2">
        <v>308</v>
      </c>
      <c r="B3" s="2" t="s">
        <v>34</v>
      </c>
      <c r="C3" s="2">
        <f t="shared" ref="C3:C31" si="0">SUM(F3,H3)</f>
        <v>125.29</v>
      </c>
      <c r="D3" s="10">
        <f>Tabel157810[[#This Row],['# tom green]]+Tabel157810[[#This Row],['#tom red]]</f>
        <v>24</v>
      </c>
      <c r="E3" s="2">
        <v>2</v>
      </c>
      <c r="F3" s="2">
        <v>4.6100000000000003</v>
      </c>
      <c r="G3" s="2">
        <v>22</v>
      </c>
      <c r="H3" s="2">
        <v>120.68</v>
      </c>
      <c r="I3" s="2"/>
      <c r="N3" s="9"/>
    </row>
    <row r="4" spans="1:14" x14ac:dyDescent="0.2">
      <c r="A4" s="2">
        <v>308</v>
      </c>
      <c r="B4" s="2" t="s">
        <v>35</v>
      </c>
      <c r="C4" s="2">
        <f t="shared" si="0"/>
        <v>51.66</v>
      </c>
      <c r="D4" s="10">
        <f>Tabel157810[[#This Row],['# tom green]]+Tabel157810[[#This Row],['#tom red]]</f>
        <v>9</v>
      </c>
      <c r="E4" s="2">
        <v>3</v>
      </c>
      <c r="F4" s="2">
        <v>6.68</v>
      </c>
      <c r="G4" s="2">
        <v>6</v>
      </c>
      <c r="H4" s="2">
        <v>44.98</v>
      </c>
      <c r="I4" s="2"/>
      <c r="N4" s="9"/>
    </row>
    <row r="5" spans="1:14" x14ac:dyDescent="0.2">
      <c r="A5" s="2">
        <v>308</v>
      </c>
      <c r="B5" s="2" t="s">
        <v>36</v>
      </c>
      <c r="C5" s="2">
        <f t="shared" si="0"/>
        <v>432.52</v>
      </c>
      <c r="D5" s="10">
        <f>Tabel157810[[#This Row],['# tom green]]+Tabel157810[[#This Row],['#tom red]]</f>
        <v>57</v>
      </c>
      <c r="E5" s="2">
        <v>16</v>
      </c>
      <c r="F5" s="2">
        <v>73.25</v>
      </c>
      <c r="G5" s="2">
        <v>41</v>
      </c>
      <c r="H5" s="2">
        <v>359.27</v>
      </c>
      <c r="I5" s="2"/>
      <c r="N5" s="9"/>
    </row>
    <row r="6" spans="1:14" x14ac:dyDescent="0.2">
      <c r="A6" s="2">
        <v>308</v>
      </c>
      <c r="B6" s="2" t="s">
        <v>37</v>
      </c>
      <c r="C6" s="2">
        <f t="shared" si="0"/>
        <v>154.51</v>
      </c>
      <c r="D6" s="10">
        <f>Tabel157810[[#This Row],['# tom green]]+Tabel157810[[#This Row],['#tom red]]</f>
        <v>27</v>
      </c>
      <c r="E6" s="2">
        <v>4</v>
      </c>
      <c r="F6" s="2">
        <v>8.92</v>
      </c>
      <c r="G6" s="2">
        <v>23</v>
      </c>
      <c r="H6" s="2">
        <v>145.59</v>
      </c>
      <c r="I6" s="2"/>
      <c r="N6" s="9"/>
    </row>
    <row r="7" spans="1:14" x14ac:dyDescent="0.2">
      <c r="A7" s="2">
        <v>308</v>
      </c>
      <c r="B7" s="2" t="s">
        <v>38</v>
      </c>
      <c r="C7" s="2">
        <f t="shared" si="0"/>
        <v>292.06</v>
      </c>
      <c r="D7" s="10">
        <f>Tabel157810[[#This Row],['# tom green]]+Tabel157810[[#This Row],['#tom red]]</f>
        <v>34</v>
      </c>
      <c r="E7" s="2">
        <v>2</v>
      </c>
      <c r="F7" s="2">
        <v>4.88</v>
      </c>
      <c r="G7" s="2">
        <v>32</v>
      </c>
      <c r="H7" s="2">
        <v>287.18</v>
      </c>
      <c r="I7" s="2"/>
      <c r="N7" s="9"/>
    </row>
    <row r="8" spans="1:14" x14ac:dyDescent="0.2">
      <c r="A8" s="2">
        <v>308</v>
      </c>
      <c r="B8" s="2" t="s">
        <v>285</v>
      </c>
      <c r="C8" s="2">
        <f t="shared" si="0"/>
        <v>262.97000000000003</v>
      </c>
      <c r="D8" s="10">
        <f>Tabel157810[[#This Row],['# tom green]]+Tabel157810[[#This Row],['#tom red]]</f>
        <v>33</v>
      </c>
      <c r="E8" s="2">
        <v>3</v>
      </c>
      <c r="F8" s="2">
        <v>13.14</v>
      </c>
      <c r="G8" s="2">
        <v>30</v>
      </c>
      <c r="H8" s="2">
        <v>249.83</v>
      </c>
      <c r="I8" s="2"/>
      <c r="N8" s="9"/>
    </row>
    <row r="9" spans="1:14" x14ac:dyDescent="0.2">
      <c r="A9" s="2">
        <v>308</v>
      </c>
      <c r="B9" s="2" t="s">
        <v>286</v>
      </c>
      <c r="C9" s="2">
        <f t="shared" si="0"/>
        <v>327.81</v>
      </c>
      <c r="D9" s="10">
        <f>Tabel157810[[#This Row],['# tom green]]+Tabel157810[[#This Row],['#tom red]]</f>
        <v>42</v>
      </c>
      <c r="E9" s="2">
        <v>7</v>
      </c>
      <c r="F9" s="2">
        <v>40.56</v>
      </c>
      <c r="G9" s="2">
        <v>35</v>
      </c>
      <c r="H9" s="2">
        <v>287.25</v>
      </c>
      <c r="I9" s="2"/>
      <c r="N9" s="9"/>
    </row>
    <row r="10" spans="1:14" x14ac:dyDescent="0.2">
      <c r="A10" s="2">
        <v>308</v>
      </c>
      <c r="B10" s="2" t="s">
        <v>287</v>
      </c>
      <c r="C10" s="2">
        <f t="shared" si="0"/>
        <v>304.54000000000002</v>
      </c>
      <c r="D10" s="10">
        <f>Tabel157810[[#This Row],['# tom green]]+Tabel157810[[#This Row],['#tom red]]</f>
        <v>43</v>
      </c>
      <c r="E10" s="2">
        <v>6</v>
      </c>
      <c r="F10" s="2">
        <v>17.25</v>
      </c>
      <c r="G10" s="2">
        <v>37</v>
      </c>
      <c r="H10" s="2">
        <v>287.29000000000002</v>
      </c>
      <c r="I10" s="2"/>
      <c r="N10" s="9"/>
    </row>
    <row r="11" spans="1:14" x14ac:dyDescent="0.2">
      <c r="A11" s="2">
        <v>308</v>
      </c>
      <c r="B11" s="2" t="s">
        <v>288</v>
      </c>
      <c r="C11" s="2">
        <f t="shared" si="0"/>
        <v>452.05</v>
      </c>
      <c r="D11" s="10">
        <f>Tabel157810[[#This Row],['# tom green]]+Tabel157810[[#This Row],['#tom red]]</f>
        <v>53</v>
      </c>
      <c r="E11" s="2">
        <v>6</v>
      </c>
      <c r="F11" s="2">
        <v>24.91</v>
      </c>
      <c r="G11" s="2">
        <v>47</v>
      </c>
      <c r="H11" s="2">
        <v>427.14</v>
      </c>
      <c r="I11" s="2"/>
      <c r="N11" s="9"/>
    </row>
    <row r="12" spans="1:14" x14ac:dyDescent="0.2">
      <c r="A12" s="2">
        <v>308</v>
      </c>
      <c r="B12" s="2" t="s">
        <v>289</v>
      </c>
      <c r="C12" s="2">
        <f t="shared" si="0"/>
        <v>142.38999999999999</v>
      </c>
      <c r="D12" s="10">
        <f>Tabel157810[[#This Row],['# tom green]]+Tabel157810[[#This Row],['#tom red]]</f>
        <v>22</v>
      </c>
      <c r="E12" s="2">
        <v>3</v>
      </c>
      <c r="F12" s="2">
        <v>9.6300000000000008</v>
      </c>
      <c r="G12" s="2">
        <v>19</v>
      </c>
      <c r="H12" s="2">
        <v>132.76</v>
      </c>
      <c r="I12" s="2"/>
      <c r="N12" s="9"/>
    </row>
    <row r="13" spans="1:14" x14ac:dyDescent="0.2">
      <c r="A13" s="2">
        <v>308</v>
      </c>
      <c r="B13" s="2" t="s">
        <v>290</v>
      </c>
      <c r="C13" s="2">
        <f t="shared" si="0"/>
        <v>299.13</v>
      </c>
      <c r="D13" s="10">
        <f>Tabel157810[[#This Row],['# tom green]]+Tabel157810[[#This Row],['#tom red]]</f>
        <v>41</v>
      </c>
      <c r="E13" s="2">
        <v>4</v>
      </c>
      <c r="F13" s="2">
        <v>13.42</v>
      </c>
      <c r="G13" s="2">
        <v>37</v>
      </c>
      <c r="H13" s="2">
        <v>285.70999999999998</v>
      </c>
      <c r="I13" s="2"/>
      <c r="N13" s="9"/>
    </row>
    <row r="14" spans="1:14" x14ac:dyDescent="0.2">
      <c r="A14" s="2">
        <v>308</v>
      </c>
      <c r="B14" s="2" t="s">
        <v>291</v>
      </c>
      <c r="C14" s="2">
        <f t="shared" si="0"/>
        <v>401.06</v>
      </c>
      <c r="D14" s="10">
        <f>Tabel157810[[#This Row],['# tom green]]+Tabel157810[[#This Row],['#tom red]]</f>
        <v>51</v>
      </c>
      <c r="E14" s="2">
        <v>5</v>
      </c>
      <c r="F14" s="2">
        <v>21.51</v>
      </c>
      <c r="G14" s="2">
        <v>46</v>
      </c>
      <c r="H14" s="2">
        <v>379.55</v>
      </c>
      <c r="I14" s="2"/>
      <c r="N14" s="9"/>
    </row>
    <row r="15" spans="1:14" x14ac:dyDescent="0.2">
      <c r="A15" s="2">
        <v>308</v>
      </c>
      <c r="B15" s="2" t="s">
        <v>292</v>
      </c>
      <c r="C15" s="2">
        <f t="shared" si="0"/>
        <v>229.69</v>
      </c>
      <c r="D15" s="10">
        <f>Tabel157810[[#This Row],['# tom green]]+Tabel157810[[#This Row],['#tom red]]</f>
        <v>25</v>
      </c>
      <c r="E15" s="2">
        <v>3</v>
      </c>
      <c r="F15" s="2">
        <v>21.51</v>
      </c>
      <c r="G15" s="2">
        <v>22</v>
      </c>
      <c r="H15" s="2">
        <v>208.18</v>
      </c>
      <c r="I15" s="2"/>
      <c r="N15" s="9"/>
    </row>
    <row r="16" spans="1:14" x14ac:dyDescent="0.2">
      <c r="A16" s="2">
        <v>308</v>
      </c>
      <c r="B16" s="2" t="s">
        <v>293</v>
      </c>
      <c r="C16" s="2">
        <f t="shared" si="0"/>
        <v>111.79</v>
      </c>
      <c r="D16" s="10">
        <f>Tabel157810[[#This Row],['# tom green]]+Tabel157810[[#This Row],['#tom red]]</f>
        <v>18</v>
      </c>
      <c r="E16" s="2">
        <v>3</v>
      </c>
      <c r="F16" s="2">
        <v>8.92</v>
      </c>
      <c r="G16" s="2">
        <v>15</v>
      </c>
      <c r="H16" s="2">
        <v>102.87</v>
      </c>
      <c r="I16" s="2"/>
      <c r="N16" s="9"/>
    </row>
    <row r="17" spans="1:14" x14ac:dyDescent="0.2">
      <c r="A17" s="2">
        <v>308</v>
      </c>
      <c r="B17" s="2" t="s">
        <v>294</v>
      </c>
      <c r="C17" s="2">
        <f t="shared" si="0"/>
        <v>340.05</v>
      </c>
      <c r="D17" s="10">
        <f>Tabel157810[[#This Row],['# tom green]]+Tabel157810[[#This Row],['#tom red]]</f>
        <v>50</v>
      </c>
      <c r="E17" s="2">
        <v>7</v>
      </c>
      <c r="F17" s="2">
        <v>18.87</v>
      </c>
      <c r="G17" s="2">
        <v>43</v>
      </c>
      <c r="H17" s="2">
        <v>321.18</v>
      </c>
      <c r="I17" s="2"/>
      <c r="N17" s="9"/>
    </row>
    <row r="18" spans="1:14" x14ac:dyDescent="0.2">
      <c r="A18" s="2">
        <v>308</v>
      </c>
      <c r="B18" s="2" t="s">
        <v>295</v>
      </c>
      <c r="C18" s="2">
        <f t="shared" si="0"/>
        <v>287.93</v>
      </c>
      <c r="D18" s="10">
        <f>Tabel157810[[#This Row],['# tom green]]+Tabel157810[[#This Row],['#tom red]]</f>
        <v>43</v>
      </c>
      <c r="E18" s="2">
        <v>8</v>
      </c>
      <c r="F18" s="2">
        <v>21.76</v>
      </c>
      <c r="G18" s="2">
        <v>35</v>
      </c>
      <c r="H18" s="2">
        <v>266.17</v>
      </c>
      <c r="I18" s="2"/>
      <c r="N18" s="9"/>
    </row>
    <row r="19" spans="1:14" x14ac:dyDescent="0.2">
      <c r="A19" s="2">
        <v>308</v>
      </c>
      <c r="B19" s="2" t="s">
        <v>296</v>
      </c>
      <c r="C19" s="2">
        <f t="shared" si="0"/>
        <v>226.59</v>
      </c>
      <c r="D19" s="10">
        <f>Tabel157810[[#This Row],['# tom green]]+Tabel157810[[#This Row],['#tom red]]</f>
        <v>35</v>
      </c>
      <c r="E19" s="2">
        <v>6</v>
      </c>
      <c r="F19" s="2">
        <v>22.22</v>
      </c>
      <c r="G19" s="2">
        <v>29</v>
      </c>
      <c r="H19" s="2">
        <v>204.37</v>
      </c>
      <c r="I19" s="2"/>
      <c r="N19" s="9"/>
    </row>
    <row r="20" spans="1:14" x14ac:dyDescent="0.2">
      <c r="A20" s="2">
        <v>308</v>
      </c>
      <c r="B20" s="2" t="s">
        <v>297</v>
      </c>
      <c r="C20" s="2">
        <f t="shared" si="0"/>
        <v>315.98</v>
      </c>
      <c r="D20" s="10">
        <f>Tabel157810[[#This Row],['# tom green]]+Tabel157810[[#This Row],['#tom red]]</f>
        <v>43</v>
      </c>
      <c r="E20" s="2">
        <v>8</v>
      </c>
      <c r="F20" s="2">
        <v>30.38</v>
      </c>
      <c r="G20" s="2">
        <v>35</v>
      </c>
      <c r="H20" s="2">
        <v>285.60000000000002</v>
      </c>
      <c r="I20" s="2"/>
      <c r="N20" s="9"/>
    </row>
    <row r="21" spans="1:14" x14ac:dyDescent="0.2">
      <c r="A21" s="2">
        <v>308</v>
      </c>
      <c r="B21" s="2" t="s">
        <v>298</v>
      </c>
      <c r="C21" s="2">
        <f t="shared" si="0"/>
        <v>107.88</v>
      </c>
      <c r="D21" s="10">
        <f>Tabel157810[[#This Row],['# tom green]]+Tabel157810[[#This Row],['#tom red]]</f>
        <v>19</v>
      </c>
      <c r="E21" s="2">
        <v>4</v>
      </c>
      <c r="F21" s="2">
        <v>15.94</v>
      </c>
      <c r="G21" s="2">
        <v>15</v>
      </c>
      <c r="H21" s="2">
        <v>91.94</v>
      </c>
      <c r="I21" s="2"/>
      <c r="N21" s="9"/>
    </row>
    <row r="22" spans="1:14" x14ac:dyDescent="0.2">
      <c r="A22" s="2">
        <v>308</v>
      </c>
      <c r="B22" s="2" t="s">
        <v>299</v>
      </c>
      <c r="C22" s="2">
        <f t="shared" si="0"/>
        <v>320.8</v>
      </c>
      <c r="D22" s="10">
        <f>Tabel157810[[#This Row],['# tom green]]+Tabel157810[[#This Row],['#tom red]]</f>
        <v>46</v>
      </c>
      <c r="E22" s="2">
        <v>8</v>
      </c>
      <c r="F22" s="2">
        <v>28.13</v>
      </c>
      <c r="G22" s="2">
        <v>38</v>
      </c>
      <c r="H22" s="2">
        <v>292.67</v>
      </c>
      <c r="I22" s="2"/>
      <c r="N22" s="9"/>
    </row>
    <row r="23" spans="1:14" x14ac:dyDescent="0.2">
      <c r="A23" s="2">
        <v>308</v>
      </c>
      <c r="B23" s="2" t="s">
        <v>300</v>
      </c>
      <c r="C23" s="2">
        <f t="shared" si="0"/>
        <v>191.95</v>
      </c>
      <c r="D23" s="10">
        <f>Tabel157810[[#This Row],['# tom green]]+Tabel157810[[#This Row],['#tom red]]</f>
        <v>27</v>
      </c>
      <c r="E23" s="2">
        <v>4</v>
      </c>
      <c r="F23" s="2">
        <v>20.2</v>
      </c>
      <c r="G23" s="2">
        <v>23</v>
      </c>
      <c r="H23" s="2">
        <v>171.75</v>
      </c>
      <c r="I23" s="2"/>
      <c r="N23" s="9"/>
    </row>
    <row r="24" spans="1:14" x14ac:dyDescent="0.2">
      <c r="A24" s="2">
        <v>308</v>
      </c>
      <c r="B24" s="2" t="s">
        <v>301</v>
      </c>
      <c r="C24" s="2">
        <f t="shared" si="0"/>
        <v>417.42</v>
      </c>
      <c r="D24" s="10">
        <f>Tabel157810[[#This Row],['# tom green]]+Tabel157810[[#This Row],['#tom red]]</f>
        <v>59</v>
      </c>
      <c r="E24" s="2">
        <v>17</v>
      </c>
      <c r="F24" s="2">
        <v>84.42</v>
      </c>
      <c r="G24" s="2">
        <v>42</v>
      </c>
      <c r="H24" s="2">
        <v>333</v>
      </c>
      <c r="I24" s="2"/>
      <c r="N24" s="9"/>
    </row>
    <row r="25" spans="1:14" x14ac:dyDescent="0.2">
      <c r="A25" s="2">
        <v>308</v>
      </c>
      <c r="B25" s="2" t="s">
        <v>302</v>
      </c>
      <c r="C25" s="2">
        <f t="shared" si="0"/>
        <v>313.01</v>
      </c>
      <c r="D25" s="10">
        <f>Tabel157810[[#This Row],['# tom green]]+Tabel157810[[#This Row],['#tom red]]</f>
        <v>42</v>
      </c>
      <c r="E25" s="2">
        <v>11</v>
      </c>
      <c r="F25" s="2">
        <v>45.58</v>
      </c>
      <c r="G25" s="2">
        <v>31</v>
      </c>
      <c r="H25" s="2">
        <v>267.43</v>
      </c>
      <c r="I25" s="2"/>
      <c r="N25" s="9"/>
    </row>
    <row r="26" spans="1:14" x14ac:dyDescent="0.2">
      <c r="A26" s="2">
        <v>308</v>
      </c>
      <c r="B26" s="2" t="s">
        <v>303</v>
      </c>
      <c r="C26" s="2">
        <f t="shared" si="0"/>
        <v>298.44</v>
      </c>
      <c r="D26" s="10">
        <f>Tabel157810[[#This Row],['# tom green]]+Tabel157810[[#This Row],['#tom red]]</f>
        <v>41</v>
      </c>
      <c r="E26" s="2">
        <v>4</v>
      </c>
      <c r="F26" s="2">
        <v>14.4</v>
      </c>
      <c r="G26" s="2">
        <v>37</v>
      </c>
      <c r="H26" s="2">
        <v>284.04000000000002</v>
      </c>
      <c r="I26" s="2"/>
      <c r="N26" s="9"/>
    </row>
    <row r="27" spans="1:14" x14ac:dyDescent="0.2">
      <c r="A27" s="2">
        <v>308</v>
      </c>
      <c r="B27" s="2" t="s">
        <v>304</v>
      </c>
      <c r="C27" s="2">
        <f t="shared" si="0"/>
        <v>255.21</v>
      </c>
      <c r="D27" s="10">
        <f>Tabel157810[[#This Row],['# tom green]]+Tabel157810[[#This Row],['#tom red]]</f>
        <v>46</v>
      </c>
      <c r="E27" s="2">
        <v>13</v>
      </c>
      <c r="F27" s="2">
        <v>37.5</v>
      </c>
      <c r="G27" s="2">
        <v>33</v>
      </c>
      <c r="H27" s="2">
        <v>217.71</v>
      </c>
      <c r="I27" s="2"/>
      <c r="N27" s="9"/>
    </row>
    <row r="28" spans="1:14" x14ac:dyDescent="0.2">
      <c r="A28" s="2">
        <v>308</v>
      </c>
      <c r="B28" s="2" t="s">
        <v>305</v>
      </c>
      <c r="C28" s="2">
        <f t="shared" si="0"/>
        <v>108.57</v>
      </c>
      <c r="D28" s="10">
        <f>Tabel157810[[#This Row],['# tom green]]+Tabel157810[[#This Row],['#tom red]]</f>
        <v>20</v>
      </c>
      <c r="E28" s="2">
        <v>3</v>
      </c>
      <c r="F28" s="2">
        <v>5.41</v>
      </c>
      <c r="G28" s="2">
        <v>17</v>
      </c>
      <c r="H28" s="2">
        <v>103.16</v>
      </c>
      <c r="I28" s="2"/>
      <c r="N28" s="9"/>
    </row>
    <row r="29" spans="1:14" x14ac:dyDescent="0.2">
      <c r="A29" s="2">
        <v>308</v>
      </c>
      <c r="B29" s="2" t="s">
        <v>306</v>
      </c>
      <c r="C29" s="2">
        <f t="shared" si="0"/>
        <v>214.77</v>
      </c>
      <c r="D29" s="10">
        <f>Tabel157810[[#This Row],['# tom green]]+Tabel157810[[#This Row],['#tom red]]</f>
        <v>36</v>
      </c>
      <c r="E29" s="2">
        <v>7</v>
      </c>
      <c r="F29" s="2">
        <v>15.19</v>
      </c>
      <c r="G29" s="2">
        <v>29</v>
      </c>
      <c r="H29" s="2">
        <v>199.58</v>
      </c>
      <c r="I29" s="2"/>
      <c r="N29" s="9"/>
    </row>
    <row r="30" spans="1:14" x14ac:dyDescent="0.2">
      <c r="A30" s="2">
        <v>308</v>
      </c>
      <c r="B30" s="2" t="s">
        <v>307</v>
      </c>
      <c r="C30" s="2">
        <f t="shared" si="0"/>
        <v>302.43</v>
      </c>
      <c r="D30" s="10">
        <f>Tabel157810[[#This Row],['# tom green]]+Tabel157810[[#This Row],['#tom red]]</f>
        <v>46</v>
      </c>
      <c r="E30" s="2">
        <v>8</v>
      </c>
      <c r="F30" s="2">
        <v>34.380000000000003</v>
      </c>
      <c r="G30" s="2">
        <v>38</v>
      </c>
      <c r="H30" s="2">
        <v>268.05</v>
      </c>
      <c r="I30" s="2"/>
      <c r="N30" s="9"/>
    </row>
    <row r="31" spans="1:14" x14ac:dyDescent="0.2">
      <c r="A31" s="2">
        <v>308</v>
      </c>
      <c r="B31" s="2" t="s">
        <v>308</v>
      </c>
      <c r="C31" s="2">
        <f t="shared" si="0"/>
        <v>331.85</v>
      </c>
      <c r="D31" s="10">
        <f>Tabel157810[[#This Row],['# tom green]]+Tabel157810[[#This Row],['#tom red]]</f>
        <v>43</v>
      </c>
      <c r="E31" s="2">
        <v>5</v>
      </c>
      <c r="F31" s="2">
        <v>22.72</v>
      </c>
      <c r="G31" s="2">
        <v>38</v>
      </c>
      <c r="H31" s="2">
        <v>309.13</v>
      </c>
      <c r="I31" s="2"/>
      <c r="N31" s="9"/>
    </row>
    <row r="32" spans="1:14" x14ac:dyDescent="0.2">
      <c r="A32" s="2">
        <v>308</v>
      </c>
      <c r="B32" s="2" t="s">
        <v>70</v>
      </c>
      <c r="C32" s="2"/>
      <c r="D32" s="10">
        <f>Tabel157810[[#This Row],['# tom green]]+Tabel157810[[#This Row],['#tom red]]</f>
        <v>33</v>
      </c>
      <c r="E32" s="2"/>
      <c r="F32" s="2"/>
      <c r="G32" s="2">
        <v>33</v>
      </c>
      <c r="H32" s="2">
        <v>284.77</v>
      </c>
      <c r="I32" s="2"/>
      <c r="N32" s="9"/>
    </row>
    <row r="33" spans="1:14" x14ac:dyDescent="0.2">
      <c r="A33" s="2">
        <v>308</v>
      </c>
      <c r="B33" s="2" t="s">
        <v>65</v>
      </c>
      <c r="C33" s="2"/>
      <c r="D33" s="10">
        <f>Tabel157810[[#This Row],['# tom green]]+Tabel157810[[#This Row],['#tom red]]</f>
        <v>32</v>
      </c>
      <c r="E33" s="2"/>
      <c r="F33" s="2"/>
      <c r="G33" s="2">
        <v>32</v>
      </c>
      <c r="H33" s="2">
        <v>279.79000000000002</v>
      </c>
      <c r="I33" s="2"/>
      <c r="N33" s="9"/>
    </row>
    <row r="34" spans="1:14" x14ac:dyDescent="0.2">
      <c r="A34" s="2">
        <v>308</v>
      </c>
      <c r="B34" s="2" t="s">
        <v>66</v>
      </c>
      <c r="C34" s="2"/>
      <c r="D34" s="10">
        <f>Tabel157810[[#This Row],['# tom green]]+Tabel157810[[#This Row],['#tom red]]</f>
        <v>20</v>
      </c>
      <c r="E34" s="2"/>
      <c r="F34" s="2"/>
      <c r="G34" s="2">
        <v>20</v>
      </c>
      <c r="H34" s="2">
        <v>126.07</v>
      </c>
      <c r="I34" s="2"/>
      <c r="N34" s="9"/>
    </row>
    <row r="35" spans="1:14" x14ac:dyDescent="0.2">
      <c r="A35" s="2">
        <v>308</v>
      </c>
      <c r="B35" s="2" t="s">
        <v>67</v>
      </c>
      <c r="C35" s="2"/>
      <c r="D35" s="10">
        <f>Tabel157810[[#This Row],['# tom green]]+Tabel157810[[#This Row],['#tom red]]</f>
        <v>24</v>
      </c>
      <c r="E35" s="2"/>
      <c r="F35" s="2"/>
      <c r="G35" s="2">
        <v>24</v>
      </c>
      <c r="H35" s="2">
        <v>183.04</v>
      </c>
      <c r="I35" s="2"/>
      <c r="N35" s="9"/>
    </row>
    <row r="36" spans="1:14" x14ac:dyDescent="0.2">
      <c r="A36" s="2">
        <v>308</v>
      </c>
      <c r="B36" s="2" t="s">
        <v>68</v>
      </c>
      <c r="C36" s="2"/>
      <c r="D36" s="10">
        <f>Tabel157810[[#This Row],['# tom green]]+Tabel157810[[#This Row],['#tom red]]</f>
        <v>36</v>
      </c>
      <c r="E36" s="2"/>
      <c r="F36" s="2"/>
      <c r="G36" s="2">
        <v>36</v>
      </c>
      <c r="H36" s="2">
        <v>343.66</v>
      </c>
      <c r="I36" s="2"/>
      <c r="N36" s="9"/>
    </row>
    <row r="37" spans="1:14" x14ac:dyDescent="0.2">
      <c r="A37" s="2">
        <v>308</v>
      </c>
      <c r="B37" s="2" t="s">
        <v>69</v>
      </c>
      <c r="C37" s="2"/>
      <c r="D37" s="10">
        <f>Tabel157810[[#This Row],['# tom green]]+Tabel157810[[#This Row],['#tom red]]</f>
        <v>40</v>
      </c>
      <c r="E37" s="2"/>
      <c r="F37" s="2"/>
      <c r="G37" s="2">
        <v>40</v>
      </c>
      <c r="H37" s="2">
        <v>397.21</v>
      </c>
      <c r="I37" s="2"/>
      <c r="N37" s="9"/>
    </row>
    <row r="38" spans="1:14" x14ac:dyDescent="0.2">
      <c r="A38" s="2">
        <v>308</v>
      </c>
      <c r="B38" s="2" t="s">
        <v>309</v>
      </c>
      <c r="C38" s="2"/>
      <c r="D38" s="10">
        <f>Tabel157810[[#This Row],['# tom green]]+Tabel157810[[#This Row],['#tom red]]</f>
        <v>45</v>
      </c>
      <c r="E38" s="2"/>
      <c r="F38" s="2"/>
      <c r="G38" s="2">
        <v>45</v>
      </c>
      <c r="H38" s="2">
        <v>405.39</v>
      </c>
      <c r="I38" s="2"/>
      <c r="N38" s="9"/>
    </row>
    <row r="39" spans="1:14" x14ac:dyDescent="0.2">
      <c r="A39" s="2">
        <v>308</v>
      </c>
      <c r="B39" s="2" t="s">
        <v>310</v>
      </c>
      <c r="C39" s="2"/>
      <c r="D39" s="10">
        <f>Tabel157810[[#This Row],['# tom green]]+Tabel157810[[#This Row],['#tom red]]</f>
        <v>33</v>
      </c>
      <c r="E39" s="2"/>
      <c r="F39" s="2"/>
      <c r="G39" s="2">
        <v>33</v>
      </c>
      <c r="H39" s="2">
        <v>261.57</v>
      </c>
      <c r="I39" s="2"/>
      <c r="N39" s="9"/>
    </row>
    <row r="40" spans="1:14" x14ac:dyDescent="0.2">
      <c r="A40" s="2">
        <v>308</v>
      </c>
      <c r="B40" s="2" t="s">
        <v>311</v>
      </c>
      <c r="C40" s="2"/>
      <c r="D40" s="10">
        <f>Tabel157810[[#This Row],['# tom green]]+Tabel157810[[#This Row],['#tom red]]</f>
        <v>36</v>
      </c>
      <c r="E40" s="2"/>
      <c r="F40" s="2"/>
      <c r="G40" s="2">
        <v>36</v>
      </c>
      <c r="H40" s="2">
        <v>337.92</v>
      </c>
      <c r="I40" s="2"/>
      <c r="N40" s="9"/>
    </row>
    <row r="41" spans="1:14" x14ac:dyDescent="0.2">
      <c r="A41" s="2">
        <v>308</v>
      </c>
      <c r="B41" s="2" t="s">
        <v>312</v>
      </c>
      <c r="C41" s="2"/>
      <c r="D41" s="10">
        <f>Tabel157810[[#This Row],['# tom green]]+Tabel157810[[#This Row],['#tom red]]</f>
        <v>35</v>
      </c>
      <c r="E41" s="2"/>
      <c r="F41" s="2"/>
      <c r="G41" s="2">
        <v>35</v>
      </c>
      <c r="H41" s="2">
        <v>333.39</v>
      </c>
      <c r="I41" s="2"/>
      <c r="N41" s="9"/>
    </row>
    <row r="42" spans="1:14" x14ac:dyDescent="0.2">
      <c r="A42" s="2">
        <v>308</v>
      </c>
      <c r="B42" s="2" t="s">
        <v>313</v>
      </c>
      <c r="C42" s="2"/>
      <c r="D42" s="10">
        <f>Tabel157810[[#This Row],['# tom green]]+Tabel157810[[#This Row],['#tom red]]</f>
        <v>46</v>
      </c>
      <c r="E42" s="2"/>
      <c r="F42" s="2"/>
      <c r="G42" s="2">
        <v>46</v>
      </c>
      <c r="H42" s="2">
        <v>369.21</v>
      </c>
      <c r="I42" s="2"/>
      <c r="N42" s="9"/>
    </row>
    <row r="43" spans="1:14" x14ac:dyDescent="0.2">
      <c r="A43" s="2">
        <v>308</v>
      </c>
      <c r="B43" s="2" t="s">
        <v>314</v>
      </c>
      <c r="C43" s="2"/>
      <c r="D43" s="10">
        <f>Tabel157810[[#This Row],['# tom green]]+Tabel157810[[#This Row],['#tom red]]</f>
        <v>39</v>
      </c>
      <c r="E43" s="2"/>
      <c r="F43" s="2"/>
      <c r="G43" s="2">
        <v>39</v>
      </c>
      <c r="H43" s="2">
        <v>323.83</v>
      </c>
      <c r="I43" s="2"/>
      <c r="N43" s="9"/>
    </row>
    <row r="44" spans="1:14" x14ac:dyDescent="0.2">
      <c r="A44" s="2">
        <v>308</v>
      </c>
      <c r="B44" s="2" t="s">
        <v>315</v>
      </c>
      <c r="C44" s="2"/>
      <c r="D44" s="10">
        <f>Tabel157810[[#This Row],['# tom green]]+Tabel157810[[#This Row],['#tom red]]</f>
        <v>49</v>
      </c>
      <c r="E44" s="2"/>
      <c r="F44" s="2"/>
      <c r="G44" s="2">
        <v>49</v>
      </c>
      <c r="H44" s="2">
        <v>416.44</v>
      </c>
      <c r="I44" s="2"/>
      <c r="N44" s="9"/>
    </row>
    <row r="45" spans="1:14" x14ac:dyDescent="0.2">
      <c r="A45" s="2">
        <v>308</v>
      </c>
      <c r="B45" s="2" t="s">
        <v>316</v>
      </c>
      <c r="C45" s="2"/>
      <c r="D45" s="10">
        <f>Tabel157810[[#This Row],['# tom green]]+Tabel157810[[#This Row],['#tom red]]</f>
        <v>28</v>
      </c>
      <c r="E45" s="2"/>
      <c r="F45" s="2"/>
      <c r="G45" s="2">
        <v>28</v>
      </c>
      <c r="H45" s="2">
        <v>251.41</v>
      </c>
      <c r="I45" s="2"/>
      <c r="N45" s="9"/>
    </row>
    <row r="46" spans="1:14" x14ac:dyDescent="0.2">
      <c r="A46" s="2">
        <v>308</v>
      </c>
      <c r="B46" s="2" t="s">
        <v>317</v>
      </c>
      <c r="C46" s="2"/>
      <c r="D46" s="10">
        <f>Tabel157810[[#This Row],['# tom green]]+Tabel157810[[#This Row],['#tom red]]</f>
        <v>40</v>
      </c>
      <c r="E46" s="2"/>
      <c r="F46" s="2"/>
      <c r="G46" s="2">
        <v>40</v>
      </c>
      <c r="H46" s="2">
        <v>346.76</v>
      </c>
      <c r="I46" s="2"/>
      <c r="N46" s="9"/>
    </row>
    <row r="47" spans="1:14" x14ac:dyDescent="0.2">
      <c r="A47" s="2">
        <v>308</v>
      </c>
      <c r="B47" s="2" t="s">
        <v>318</v>
      </c>
      <c r="C47" s="2"/>
      <c r="D47" s="10">
        <f>Tabel157810[[#This Row],['# tom green]]+Tabel157810[[#This Row],['#tom red]]</f>
        <v>37</v>
      </c>
      <c r="E47" s="2"/>
      <c r="F47" s="2"/>
      <c r="G47" s="2">
        <v>37</v>
      </c>
      <c r="H47" s="2">
        <v>349.37</v>
      </c>
      <c r="I47" s="2"/>
      <c r="N47" s="9"/>
    </row>
    <row r="48" spans="1:14" x14ac:dyDescent="0.2">
      <c r="A48" s="2">
        <v>308</v>
      </c>
      <c r="B48" s="2" t="s">
        <v>319</v>
      </c>
      <c r="C48" s="2"/>
      <c r="D48" s="10">
        <f>Tabel157810[[#This Row],['# tom green]]+Tabel157810[[#This Row],['#tom red]]</f>
        <v>34</v>
      </c>
      <c r="E48" s="2"/>
      <c r="F48" s="2"/>
      <c r="G48" s="2">
        <v>34</v>
      </c>
      <c r="H48" s="2">
        <v>318.12</v>
      </c>
      <c r="I48" s="2"/>
      <c r="N48" s="9"/>
    </row>
    <row r="49" spans="1:14" x14ac:dyDescent="0.2">
      <c r="A49" s="2">
        <v>308</v>
      </c>
      <c r="B49" s="2" t="s">
        <v>320</v>
      </c>
      <c r="C49" s="2"/>
      <c r="D49" s="10">
        <f>Tabel157810[[#This Row],['# tom green]]+Tabel157810[[#This Row],['#tom red]]</f>
        <v>44</v>
      </c>
      <c r="E49" s="2"/>
      <c r="F49" s="2"/>
      <c r="G49" s="2">
        <v>44</v>
      </c>
      <c r="H49" s="2">
        <v>349.22</v>
      </c>
      <c r="I49" s="2"/>
      <c r="N49" s="9"/>
    </row>
    <row r="50" spans="1:14" x14ac:dyDescent="0.2">
      <c r="A50" s="2">
        <v>308</v>
      </c>
      <c r="B50" s="2" t="s">
        <v>321</v>
      </c>
      <c r="C50" s="2"/>
      <c r="D50" s="10">
        <f>Tabel157810[[#This Row],['# tom green]]+Tabel157810[[#This Row],['#tom red]]</f>
        <v>34</v>
      </c>
      <c r="E50" s="2"/>
      <c r="F50" s="2"/>
      <c r="G50" s="2">
        <v>34</v>
      </c>
      <c r="H50" s="2">
        <v>258.83</v>
      </c>
      <c r="I50" s="2"/>
      <c r="N50" s="9"/>
    </row>
    <row r="51" spans="1:14" x14ac:dyDescent="0.2">
      <c r="A51" s="2">
        <v>308</v>
      </c>
      <c r="B51" s="2" t="s">
        <v>322</v>
      </c>
      <c r="C51" s="2"/>
      <c r="D51" s="10">
        <f>Tabel157810[[#This Row],['# tom green]]+Tabel157810[[#This Row],['#tom red]]</f>
        <v>32</v>
      </c>
      <c r="E51" s="2"/>
      <c r="F51" s="2"/>
      <c r="G51" s="2">
        <v>32</v>
      </c>
      <c r="H51" s="2">
        <v>250.11</v>
      </c>
      <c r="I51" s="2"/>
      <c r="N51" s="9"/>
    </row>
    <row r="52" spans="1:14" ht="16" thickBot="1" x14ac:dyDescent="0.25">
      <c r="N52" t="s">
        <v>102</v>
      </c>
    </row>
    <row r="53" spans="1:14" ht="16" thickBot="1" x14ac:dyDescent="0.25">
      <c r="A53" s="55" t="s">
        <v>327</v>
      </c>
      <c r="B53" s="44"/>
      <c r="C53" s="55">
        <f>SUM(C2:C31)</f>
        <v>7915.0700000000006</v>
      </c>
      <c r="D53" s="55">
        <f>SUM(D2:D31)</f>
        <v>1116</v>
      </c>
      <c r="E53" s="44">
        <f>SUM(E2:E51)</f>
        <v>187</v>
      </c>
      <c r="F53" s="55">
        <f>SUM(F2:F51)</f>
        <v>706.38</v>
      </c>
      <c r="G53" s="55">
        <f>SUM(G2:G31)</f>
        <v>929</v>
      </c>
      <c r="H53" s="45">
        <f>SUM(H2:H31)</f>
        <v>7208.69</v>
      </c>
      <c r="I53" s="55"/>
      <c r="J53" s="55"/>
      <c r="N53" s="54">
        <f>(H53/C53)*100</f>
        <v>91.075505333496722</v>
      </c>
    </row>
    <row r="54" spans="1:14" ht="16" thickBot="1" x14ac:dyDescent="0.25">
      <c r="A54" s="57" t="s">
        <v>329</v>
      </c>
      <c r="H54" s="57">
        <f>SUM(H2:H51)</f>
        <v>13394.799999999997</v>
      </c>
      <c r="N54" s="9"/>
    </row>
    <row r="55" spans="1:14" x14ac:dyDescent="0.2">
      <c r="A55" s="58" t="s">
        <v>328</v>
      </c>
      <c r="B55" s="36"/>
      <c r="C55" s="37"/>
      <c r="D55" s="38"/>
      <c r="E55" s="41"/>
      <c r="F55" s="41"/>
      <c r="G55" s="41">
        <v>250</v>
      </c>
      <c r="H55" s="41">
        <v>2064.31</v>
      </c>
      <c r="I55" s="37"/>
      <c r="J55" s="37"/>
      <c r="K55" s="79" t="s">
        <v>325</v>
      </c>
      <c r="L55" s="80"/>
    </row>
    <row r="56" spans="1:14" x14ac:dyDescent="0.2">
      <c r="A56" s="57"/>
      <c r="B56" s="40"/>
      <c r="E56" s="2"/>
      <c r="F56" s="2"/>
      <c r="G56" s="2"/>
      <c r="H56" s="2">
        <v>122.38</v>
      </c>
      <c r="K56" s="81" t="s">
        <v>326</v>
      </c>
      <c r="L56" s="82"/>
    </row>
    <row r="57" spans="1:14" ht="16" thickBot="1" x14ac:dyDescent="0.25">
      <c r="A57" s="56"/>
      <c r="B57" s="39"/>
      <c r="C57" s="29"/>
      <c r="D57" s="53"/>
      <c r="E57" s="42"/>
      <c r="F57" s="43"/>
      <c r="G57" s="42"/>
      <c r="H57" s="43">
        <f>(H56/H55)*100</f>
        <v>5.9283731610077943</v>
      </c>
      <c r="I57" s="29"/>
      <c r="J57" s="29"/>
      <c r="K57" s="83" t="s">
        <v>323</v>
      </c>
      <c r="L57" s="84"/>
    </row>
    <row r="58" spans="1:14" ht="16" thickBot="1" x14ac:dyDescent="0.25">
      <c r="A58" s="55" t="s">
        <v>240</v>
      </c>
      <c r="B58" s="29"/>
      <c r="C58" s="29"/>
      <c r="D58" s="53"/>
      <c r="E58" s="29"/>
      <c r="F58" s="29"/>
      <c r="G58" s="29"/>
      <c r="H58" s="55">
        <f>AVERAGE(Tabel157810[FW red])</f>
        <v>267.89599999999996</v>
      </c>
    </row>
    <row r="60" spans="1:14" x14ac:dyDescent="0.2">
      <c r="B60" s="70" t="s">
        <v>333</v>
      </c>
      <c r="C60" s="71">
        <f>AVERAGE(C2:C31)</f>
        <v>263.83566666666667</v>
      </c>
    </row>
    <row r="61" spans="1:14" x14ac:dyDescent="0.2">
      <c r="B61" s="59" t="s">
        <v>40</v>
      </c>
      <c r="C61" s="35">
        <f>_xlfn.STDEV.S(C2:C51)/(SQRT(COUNT(C2:C7)))</f>
        <v>42.195013742070103</v>
      </c>
    </row>
    <row r="62" spans="1:14" x14ac:dyDescent="0.2">
      <c r="B62" s="59"/>
      <c r="C62" s="35"/>
    </row>
    <row r="63" spans="1:14" x14ac:dyDescent="0.2">
      <c r="B63" s="59" t="s">
        <v>332</v>
      </c>
      <c r="C63" s="35">
        <f>AVERAGE(H2:H31)</f>
        <v>240.28966666666665</v>
      </c>
    </row>
    <row r="64" spans="1:14" x14ac:dyDescent="0.2">
      <c r="B64" s="72" t="s">
        <v>40</v>
      </c>
      <c r="C64" s="34">
        <f>_xlfn.STDEV.S(H2:H31)/(SQRT(COUNT(H2:H31)))</f>
        <v>16.919001413994373</v>
      </c>
    </row>
  </sheetData>
  <mergeCells count="3">
    <mergeCell ref="K55:L55"/>
    <mergeCell ref="K56:L56"/>
    <mergeCell ref="K57:L57"/>
  </mergeCells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Information</vt:lpstr>
      <vt:lpstr>Destructive harvest 7-10-24</vt:lpstr>
      <vt:lpstr>Destructive harvest 22-10-24</vt:lpstr>
      <vt:lpstr>Destructive harvest 05-11-24</vt:lpstr>
      <vt:lpstr>Final Harvest 3.02</vt:lpstr>
      <vt:lpstr>Final Harvest 3.07</vt:lpstr>
      <vt:lpstr>Final Harvest  3.06</vt:lpstr>
      <vt:lpstr>Final Harvest 3.03</vt:lpstr>
      <vt:lpstr>Final Harvest 3.01 </vt:lpstr>
      <vt:lpstr>Final Harvest 3.08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Tsai-Meu-Chong, Elisa</dc:creator>
  <cp:lastModifiedBy>Maree, Stef</cp:lastModifiedBy>
  <cp:lastPrinted>2024-10-16T11:08:04Z</cp:lastPrinted>
  <dcterms:created xsi:type="dcterms:W3CDTF">2024-10-07T11:21:19Z</dcterms:created>
  <dcterms:modified xsi:type="dcterms:W3CDTF">2025-06-04T20:54:09Z</dcterms:modified>
</cp:coreProperties>
</file>